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66e93037c89d0/Desktop/GIT/Dashboard-de-Vendas-do-Xbox-com-Excel/"/>
    </mc:Choice>
  </mc:AlternateContent>
  <xr:revisionPtr revIDLastSave="1157" documentId="13_ncr:1_{3C2F8ED6-40B2-4E08-832A-7140AC03FA60}" xr6:coauthVersionLast="47" xr6:coauthVersionMax="47" xr10:uidLastSave="{0A5AA400-5482-47D7-A297-F585255AF559}"/>
  <bookViews>
    <workbookView xWindow="-120" yWindow="-120" windowWidth="29040" windowHeight="15720" activeTab="2" xr2:uid="{28DD5B76-0634-4F87-BE60-8BFA7EF2E23B}"/>
  </bookViews>
  <sheets>
    <sheet name="A̳ssets" sheetId="1" r:id="rId1"/>
    <sheet name="B̳ases" sheetId="2" r:id="rId2"/>
    <sheet name="C̳álculo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</calcChain>
</file>

<file path=xl/sharedStrings.xml><?xml version="1.0" encoding="utf-8"?>
<sst xmlns="http://schemas.openxmlformats.org/spreadsheetml/2006/main" count="2047" uniqueCount="337">
  <si>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</si>
  <si>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</si>
  <si>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</si>
  <si>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</si>
  <si>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</si>
  <si>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</si>
  <si>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</si>
  <si>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</si>
  <si>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</si>
  <si>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</si>
  <si>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</si>
  <si>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</si>
  <si>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</si>
  <si>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</si>
  <si>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</si>
  <si>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</si>
  <si>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</si>
  <si>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</si>
  <si>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</si>
  <si>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</si>
  <si>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</si>
  <si>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</si>
  <si>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</si>
  <si>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</si>
  <si>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</si>
  <si>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</si>
  <si>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</si>
  <si>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</si>
  <si>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</si>
  <si>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</si>
  <si>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</si>
  <si>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</si>
  <si>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</si>
  <si>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</si>
  <si>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</si>
  <si>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</si>
  <si>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</si>
  <si>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</si>
  <si>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</si>
  <si>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</si>
  <si>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</si>
  <si>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</si>
  <si>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</si>
  <si>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</si>
  <si>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</si>
  <si>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</si>
  <si>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</si>
  <si>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</si>
  <si>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</si>
  <si>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</si>
  <si>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</si>
  <si>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</si>
  <si>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</si>
  <si>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</si>
  <si>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</si>
  <si>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</si>
  <si>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</si>
  <si>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</si>
  <si>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</si>
  <si>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</si>
  <si>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</si>
  <si>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</si>
  <si>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</si>
  <si>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</si>
  <si>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</si>
  <si>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</si>
  <si>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</si>
  <si>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</si>
  <si>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</si>
  <si>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</si>
  <si>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</si>
  <si>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</si>
  <si>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</si>
  <si>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</si>
  <si>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</si>
  <si>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</si>
  <si>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</si>
  <si>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</si>
  <si>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</si>
  <si>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</si>
  <si>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</si>
  <si>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</si>
  <si>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</si>
  <si>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</si>
  <si>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</si>
  <si>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</si>
  <si>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</si>
  <si>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</si>
  <si>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</si>
  <si>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</si>
  <si>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</si>
  <si>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</si>
  <si>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</si>
  <si>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</si>
  <si>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</si>
  <si>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</si>
  <si>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</si>
  <si>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</si>
  <si>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</si>
  <si>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</si>
  <si>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</si>
  <si>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</si>
  <si>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</si>
  <si>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</si>
  <si>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</si>
  <si>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</si>
  <si>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</si>
  <si>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</si>
  <si>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</si>
  <si>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</si>
  <si>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</si>
  <si>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</si>
  <si>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</si>
  <si>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</si>
  <si>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</si>
  <si>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</si>
  <si>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</si>
  <si>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</si>
  <si>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</si>
  <si>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</si>
  <si>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</si>
  <si>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</si>
  <si>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</si>
  <si>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</si>
  <si>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</si>
  <si>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</si>
  <si>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</si>
  <si>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</si>
  <si>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</si>
  <si>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</si>
  <si>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</si>
  <si>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</si>
  <si>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</si>
  <si>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</si>
  <si>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</si>
  <si>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</si>
  <si>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</si>
  <si>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</si>
  <si>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</si>
  <si>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</si>
  <si>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</si>
  <si>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</si>
  <si>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</si>
  <si>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</si>
  <si>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</si>
  <si>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</si>
  <si>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</si>
  <si>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</si>
  <si>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</si>
  <si>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</si>
  <si>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</si>
  <si>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</si>
  <si>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</si>
  <si>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</si>
  <si>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</si>
  <si>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</si>
  <si>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</si>
  <si>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</si>
  <si>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</si>
  <si>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</si>
  <si>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</si>
  <si>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</si>
  <si>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</si>
  <si>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</si>
  <si>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</si>
  <si>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</si>
  <si>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</si>
  <si>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</si>
  <si>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</si>
  <si>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</si>
  <si>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</si>
  <si>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</si>
  <si>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</si>
  <si>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</si>
  <si>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</si>
  <si>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</si>
  <si>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</si>
  <si>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</si>
  <si>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</si>
  <si>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</si>
  <si>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</si>
  <si>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</si>
  <si>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</si>
  <si>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</si>
  <si>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</si>
  <si>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</si>
  <si>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</si>
  <si>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</si>
  <si>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</si>
  <si>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</si>
  <si>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</si>
  <si>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</si>
  <si>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</si>
  <si>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</si>
  <si>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</si>
  <si>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</si>
  <si>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</si>
  <si>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</si>
  <si>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</si>
  <si>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</si>
  <si>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</si>
  <si>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</si>
  <si>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</si>
  <si>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</si>
  <si>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</si>
  <si>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</si>
  <si>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</si>
  <si>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</si>
  <si>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</si>
  <si>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</si>
  <si>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</si>
  <si>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</si>
  <si>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</si>
  <si>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</si>
  <si>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</si>
  <si>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</si>
  <si>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</si>
  <si>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</si>
  <si>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</si>
  <si>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</si>
  <si>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</si>
  <si>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</si>
  <si>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</si>
  <si>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</si>
  <si>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</si>
  <si>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</si>
  <si>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</si>
  <si>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</si>
  <si>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</si>
  <si>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</si>
  <si>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</si>
  <si>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</si>
  <si>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</si>
  <si>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</si>
  <si>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</si>
  <si>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</si>
  <si>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</si>
  <si>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</si>
  <si>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</si>
  <si>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</si>
  <si>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</si>
  <si>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</si>
  <si>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</si>
  <si>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</si>
  <si>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</si>
  <si>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</si>
  <si>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</si>
  <si>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</si>
  <si>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</si>
  <si>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</si>
  <si>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</si>
  <si>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</si>
  <si>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</si>
  <si>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</si>
  <si>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</si>
  <si>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</si>
  <si>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</si>
  <si>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</si>
  <si>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</si>
  <si>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</si>
  <si>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</si>
  <si>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</si>
  <si>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</si>
  <si>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</si>
  <si>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</si>
  <si>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</si>
  <si>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</si>
  <si>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</si>
  <si>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</si>
  <si>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</si>
  <si>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</si>
  <si>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</si>
  <si>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</si>
  <si>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</si>
  <si>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</si>
  <si>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</si>
  <si>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</si>
  <si>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</si>
  <si>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</si>
  <si>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</si>
  <si>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</si>
  <si>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</si>
  <si>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</si>
  <si>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</si>
  <si>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</si>
  <si>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</si>
  <si>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</si>
  <si>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</si>
  <si>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</si>
  <si>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</si>
  <si>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</si>
  <si>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</si>
  <si>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</si>
  <si>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</si>
  <si>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</si>
  <si>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</si>
  <si>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</si>
  <si>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</si>
  <si>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</si>
  <si>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</si>
  <si>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</si>
  <si>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</si>
  <si>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</si>
  <si>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</si>
  <si>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</si>
  <si>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</si>
  <si>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</si>
  <si>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</si>
  <si>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</si>
  <si>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</si>
  <si>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</si>
  <si>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1 - Total de </t>
    </r>
    <r>
      <rPr>
        <b/>
        <sz val="11"/>
        <color theme="1"/>
        <rFont val="Aptos Narrow"/>
        <family val="2"/>
        <scheme val="minor"/>
      </rPr>
      <t>vendas de planos anual</t>
    </r>
    <r>
      <rPr>
        <sz val="11"/>
        <color theme="1"/>
        <rFont val="Aptos Narrow"/>
        <family val="2"/>
        <scheme val="minor"/>
      </rPr>
      <t xml:space="preserve"> para </t>
    </r>
    <r>
      <rPr>
        <b/>
        <sz val="11"/>
        <color theme="1"/>
        <rFont val="Aptos Narrow"/>
        <family val="2"/>
        <scheme val="minor"/>
      </rPr>
      <t>assinaturas agregadas</t>
    </r>
  </si>
  <si>
    <r>
      <t xml:space="preserve">2 - Total de </t>
    </r>
    <r>
      <rPr>
        <b/>
        <sz val="11"/>
        <color theme="1"/>
        <rFont val="Aptos Narrow"/>
        <family val="2"/>
        <scheme val="minor"/>
      </rPr>
      <t>vendas de planos anual</t>
    </r>
    <r>
      <rPr>
        <sz val="11"/>
        <color theme="1"/>
        <rFont val="Aptos Narrow"/>
        <family val="2"/>
        <scheme val="minor"/>
      </rPr>
      <t xml:space="preserve">, que </t>
    </r>
    <r>
      <rPr>
        <b/>
        <sz val="11"/>
        <color theme="1"/>
        <rFont val="Aptos Narrow"/>
        <family val="2"/>
        <scheme val="minor"/>
      </rPr>
      <t>não é auto renovação</t>
    </r>
  </si>
  <si>
    <t>#9BC848</t>
  </si>
  <si>
    <t>#22C55E</t>
  </si>
  <si>
    <t>#2AE6B1</t>
  </si>
  <si>
    <t>#5BF6A8</t>
  </si>
  <si>
    <t>#E8E6E9</t>
  </si>
  <si>
    <t>Soma de EA Play Season Pass</t>
  </si>
  <si>
    <r>
      <t xml:space="preserve">4 - Total de </t>
    </r>
    <r>
      <rPr>
        <b/>
        <sz val="11"/>
        <color theme="1"/>
        <rFont val="Aptos Narrow"/>
        <family val="2"/>
        <scheme val="minor"/>
      </rPr>
      <t>vendas de assinaturas do Minecraft Season Pass</t>
    </r>
  </si>
  <si>
    <t>Soma de Minecraft Season Pass Price</t>
  </si>
  <si>
    <r>
      <t xml:space="preserve">3 - Total de </t>
    </r>
    <r>
      <rPr>
        <b/>
        <sz val="11"/>
        <color theme="1"/>
        <rFont val="Aptos Narrow"/>
        <family val="2"/>
        <scheme val="minor"/>
      </rPr>
      <t>vendas de assinaturas do EA Play Pass</t>
    </r>
  </si>
  <si>
    <r>
      <t xml:space="preserve">5  - Total de </t>
    </r>
    <r>
      <rPr>
        <b/>
        <sz val="11"/>
        <color theme="1"/>
        <rFont val="Aptos Narrow"/>
        <family val="2"/>
        <scheme val="minor"/>
      </rPr>
      <t>vendas por tipo de plano</t>
    </r>
  </si>
  <si>
    <r>
      <t>6  - Total de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venda por</t>
    </r>
    <r>
      <rPr>
        <b/>
        <sz val="11"/>
        <color theme="1"/>
        <rFont val="Aptos Narrow"/>
        <family val="2"/>
        <scheme val="minor"/>
      </rPr>
      <t xml:space="preserve"> mês</t>
    </r>
  </si>
  <si>
    <t>dez</t>
  </si>
  <si>
    <t>(Tudo)</t>
  </si>
  <si>
    <t>out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</si>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</sst>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0" fillId="6" borderId="0" xfId="0" applyFill="1" applyAlignment="1">
      <alignment horizontal="left"/>
    </xf>
    <xf numFmtId="44" fontId="0" fillId="6" borderId="0" xfId="0" applyNumberFormat="1" applyFill="1"/>
    <xf numFmtId="164" fontId="0" fillId="6" borderId="0" xfId="0" applyNumberFormat="1" applyFill="1"/>
    <xf numFmtId="0" fontId="0" fillId="8" borderId="0" xfId="0" applyFill="1" applyAlignment="1"/>
    <xf numFmtId="0" fontId="0" fillId="8" borderId="0" xfId="0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37"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numFmt numFmtId="164" formatCode="&quot;R$&quot;\ #,##0.00"/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6F697419-D825-4360-B6F0-A2D0CED30B18}">
      <tableStyleElement type="wholeTable" dxfId="36"/>
      <tableStyleElement type="headerRow" dxfId="35"/>
    </tableStyle>
  </tableStyles>
  <colors>
    <mruColors>
      <color rgb="FF22C55E"/>
      <color rgb="FF2AE6B1"/>
      <color rgb="FFE8E6E9"/>
      <color rgb="FF9BC848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8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4800"/>
    <xdr:sp macro="" textlink="">
      <xdr:nvSpPr>
        <xdr:cNvPr id="4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84EAB5-3AFA-4C07-9F9D-424BA6701397}"/>
            </a:ext>
          </a:extLst>
        </xdr:cNvPr>
        <xdr:cNvSpPr>
          <a:spLocks noChangeAspect="1" noChangeArrowheads="1"/>
        </xdr:cNvSpPr>
      </xdr:nvSpPr>
      <xdr:spPr bwMode="auto">
        <a:xfrm>
          <a:off x="1376362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48D861A-90E1-4896-BD75-D8DEB843BA9B}"/>
            </a:ext>
          </a:extLst>
        </xdr:cNvPr>
        <xdr:cNvSpPr>
          <a:spLocks noChangeAspect="1" noChangeArrowheads="1"/>
        </xdr:cNvSpPr>
      </xdr:nvSpPr>
      <xdr:spPr bwMode="auto">
        <a:xfrm>
          <a:off x="1505902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yanca Godoy Lisboa" refreshedDate="46007.798196296295" createdVersion="8" refreshedVersion="8" minRefreshableVersion="3" recordCount="295" xr:uid="{78E4CC56-AD10-48C7-9A55-AC9F8528B51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9265103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n v="15"/>
    <x v="0"/>
    <s v="Yes"/>
    <n v="30"/>
    <s v="Yes"/>
    <n v="20"/>
    <n v="5"/>
    <n v="60"/>
  </r>
  <r>
    <x v="1"/>
    <x v="1"/>
    <x v="1"/>
    <x v="1"/>
    <x v="1"/>
    <n v="5"/>
    <x v="1"/>
    <s v="No"/>
    <s v="-"/>
    <s v="No"/>
    <n v="0"/>
    <n v="0"/>
    <n v="5"/>
  </r>
  <r>
    <x v="2"/>
    <x v="2"/>
    <x v="2"/>
    <x v="2"/>
    <x v="0"/>
    <n v="10"/>
    <x v="2"/>
    <s v="No"/>
    <s v="-"/>
    <s v="Yes"/>
    <n v="20"/>
    <n v="10"/>
    <n v="20"/>
  </r>
  <r>
    <x v="3"/>
    <x v="3"/>
    <x v="0"/>
    <x v="3"/>
    <x v="1"/>
    <n v="15"/>
    <x v="0"/>
    <s v="Yes"/>
    <n v="30"/>
    <s v="Yes"/>
    <n v="20"/>
    <n v="3"/>
    <n v="62"/>
  </r>
  <r>
    <x v="4"/>
    <x v="4"/>
    <x v="1"/>
    <x v="4"/>
    <x v="0"/>
    <n v="5"/>
    <x v="0"/>
    <s v="No"/>
    <s v="-"/>
    <s v="No"/>
    <n v="0"/>
    <n v="1"/>
    <n v="4"/>
  </r>
  <r>
    <x v="5"/>
    <x v="5"/>
    <x v="2"/>
    <x v="5"/>
    <x v="1"/>
    <n v="10"/>
    <x v="0"/>
    <s v="No"/>
    <s v="-"/>
    <s v="Yes"/>
    <n v="20"/>
    <n v="2"/>
    <n v="28"/>
  </r>
  <r>
    <x v="6"/>
    <x v="6"/>
    <x v="0"/>
    <x v="6"/>
    <x v="0"/>
    <n v="15"/>
    <x v="2"/>
    <s v="Yes"/>
    <n v="30"/>
    <s v="Yes"/>
    <n v="20"/>
    <n v="10"/>
    <n v="55"/>
  </r>
  <r>
    <x v="7"/>
    <x v="7"/>
    <x v="1"/>
    <x v="7"/>
    <x v="0"/>
    <n v="5"/>
    <x v="1"/>
    <s v="No"/>
    <s v="-"/>
    <s v="No"/>
    <n v="0"/>
    <n v="0"/>
    <n v="5"/>
  </r>
  <r>
    <x v="8"/>
    <x v="8"/>
    <x v="0"/>
    <x v="4"/>
    <x v="1"/>
    <n v="15"/>
    <x v="0"/>
    <s v="Yes"/>
    <n v="30"/>
    <s v="Yes"/>
    <n v="20"/>
    <n v="5"/>
    <n v="60"/>
  </r>
  <r>
    <x v="9"/>
    <x v="9"/>
    <x v="2"/>
    <x v="8"/>
    <x v="0"/>
    <n v="10"/>
    <x v="2"/>
    <s v="No"/>
    <s v="-"/>
    <s v="Yes"/>
    <n v="20"/>
    <n v="15"/>
    <n v="15"/>
  </r>
  <r>
    <x v="10"/>
    <x v="10"/>
    <x v="1"/>
    <x v="9"/>
    <x v="1"/>
    <n v="5"/>
    <x v="0"/>
    <s v="No"/>
    <s v="-"/>
    <s v="No"/>
    <n v="0"/>
    <n v="1"/>
    <n v="4"/>
  </r>
  <r>
    <x v="11"/>
    <x v="11"/>
    <x v="0"/>
    <x v="10"/>
    <x v="0"/>
    <n v="15"/>
    <x v="1"/>
    <s v="Yes"/>
    <n v="30"/>
    <s v="Yes"/>
    <n v="20"/>
    <n v="20"/>
    <n v="45"/>
  </r>
  <r>
    <x v="12"/>
    <x v="12"/>
    <x v="2"/>
    <x v="11"/>
    <x v="1"/>
    <n v="10"/>
    <x v="0"/>
    <s v="No"/>
    <s v="-"/>
    <s v="Yes"/>
    <n v="20"/>
    <n v="10"/>
    <n v="20"/>
  </r>
  <r>
    <x v="13"/>
    <x v="13"/>
    <x v="1"/>
    <x v="12"/>
    <x v="0"/>
    <n v="5"/>
    <x v="2"/>
    <s v="No"/>
    <s v="-"/>
    <s v="No"/>
    <n v="0"/>
    <n v="0"/>
    <n v="5"/>
  </r>
  <r>
    <x v="14"/>
    <x v="14"/>
    <x v="0"/>
    <x v="13"/>
    <x v="1"/>
    <n v="15"/>
    <x v="0"/>
    <s v="Yes"/>
    <n v="30"/>
    <s v="Yes"/>
    <n v="20"/>
    <n v="8"/>
    <n v="57"/>
  </r>
  <r>
    <x v="15"/>
    <x v="15"/>
    <x v="2"/>
    <x v="14"/>
    <x v="0"/>
    <n v="10"/>
    <x v="1"/>
    <s v="No"/>
    <s v="-"/>
    <s v="Yes"/>
    <n v="20"/>
    <n v="12"/>
    <n v="18"/>
  </r>
  <r>
    <x v="16"/>
    <x v="16"/>
    <x v="1"/>
    <x v="15"/>
    <x v="1"/>
    <n v="5"/>
    <x v="0"/>
    <s v="No"/>
    <s v="-"/>
    <s v="No"/>
    <n v="0"/>
    <n v="2"/>
    <n v="3"/>
  </r>
  <r>
    <x v="17"/>
    <x v="17"/>
    <x v="0"/>
    <x v="16"/>
    <x v="0"/>
    <n v="15"/>
    <x v="2"/>
    <s v="Yes"/>
    <n v="30"/>
    <s v="Yes"/>
    <n v="20"/>
    <n v="7"/>
    <n v="58"/>
  </r>
  <r>
    <x v="18"/>
    <x v="18"/>
    <x v="2"/>
    <x v="17"/>
    <x v="1"/>
    <n v="10"/>
    <x v="0"/>
    <s v="No"/>
    <s v="-"/>
    <s v="Yes"/>
    <n v="20"/>
    <n v="5"/>
    <n v="25"/>
  </r>
  <r>
    <x v="19"/>
    <x v="19"/>
    <x v="1"/>
    <x v="18"/>
    <x v="0"/>
    <n v="5"/>
    <x v="1"/>
    <s v="No"/>
    <s v="-"/>
    <s v="No"/>
    <n v="0"/>
    <n v="0"/>
    <n v="5"/>
  </r>
  <r>
    <x v="20"/>
    <x v="20"/>
    <x v="0"/>
    <x v="19"/>
    <x v="1"/>
    <n v="15"/>
    <x v="0"/>
    <s v="Yes"/>
    <n v="30"/>
    <s v="Yes"/>
    <n v="20"/>
    <n v="3"/>
    <n v="62"/>
  </r>
  <r>
    <x v="21"/>
    <x v="21"/>
    <x v="2"/>
    <x v="20"/>
    <x v="0"/>
    <n v="10"/>
    <x v="2"/>
    <s v="No"/>
    <s v="-"/>
    <s v="Yes"/>
    <n v="20"/>
    <n v="15"/>
    <n v="15"/>
  </r>
  <r>
    <x v="22"/>
    <x v="22"/>
    <x v="1"/>
    <x v="21"/>
    <x v="1"/>
    <n v="5"/>
    <x v="0"/>
    <s v="No"/>
    <s v="-"/>
    <s v="No"/>
    <n v="0"/>
    <n v="1"/>
    <n v="4"/>
  </r>
  <r>
    <x v="23"/>
    <x v="23"/>
    <x v="0"/>
    <x v="22"/>
    <x v="0"/>
    <n v="15"/>
    <x v="1"/>
    <s v="Yes"/>
    <n v="30"/>
    <s v="Yes"/>
    <n v="20"/>
    <n v="20"/>
    <n v="45"/>
  </r>
  <r>
    <x v="24"/>
    <x v="24"/>
    <x v="2"/>
    <x v="23"/>
    <x v="1"/>
    <n v="10"/>
    <x v="0"/>
    <s v="No"/>
    <s v="-"/>
    <s v="Yes"/>
    <n v="20"/>
    <n v="10"/>
    <n v="20"/>
  </r>
  <r>
    <x v="25"/>
    <x v="25"/>
    <x v="1"/>
    <x v="24"/>
    <x v="0"/>
    <n v="5"/>
    <x v="2"/>
    <s v="No"/>
    <s v="-"/>
    <s v="No"/>
    <n v="0"/>
    <n v="0"/>
    <n v="5"/>
  </r>
  <r>
    <x v="26"/>
    <x v="26"/>
    <x v="0"/>
    <x v="25"/>
    <x v="1"/>
    <n v="15"/>
    <x v="0"/>
    <s v="Yes"/>
    <n v="30"/>
    <s v="Yes"/>
    <n v="20"/>
    <n v="5"/>
    <n v="60"/>
  </r>
  <r>
    <x v="27"/>
    <x v="27"/>
    <x v="2"/>
    <x v="26"/>
    <x v="0"/>
    <n v="10"/>
    <x v="1"/>
    <s v="No"/>
    <s v="-"/>
    <s v="Yes"/>
    <n v="20"/>
    <n v="15"/>
    <n v="15"/>
  </r>
  <r>
    <x v="28"/>
    <x v="28"/>
    <x v="1"/>
    <x v="27"/>
    <x v="1"/>
    <n v="5"/>
    <x v="0"/>
    <s v="No"/>
    <s v="-"/>
    <s v="No"/>
    <n v="0"/>
    <n v="1"/>
    <n v="4"/>
  </r>
  <r>
    <x v="29"/>
    <x v="29"/>
    <x v="0"/>
    <x v="28"/>
    <x v="0"/>
    <n v="15"/>
    <x v="2"/>
    <s v="Yes"/>
    <n v="30"/>
    <s v="Yes"/>
    <n v="20"/>
    <n v="7"/>
    <n v="58"/>
  </r>
  <r>
    <x v="30"/>
    <x v="30"/>
    <x v="2"/>
    <x v="29"/>
    <x v="1"/>
    <n v="10"/>
    <x v="0"/>
    <s v="No"/>
    <s v="-"/>
    <s v="Yes"/>
    <n v="20"/>
    <n v="10"/>
    <n v="20"/>
  </r>
  <r>
    <x v="31"/>
    <x v="31"/>
    <x v="1"/>
    <x v="30"/>
    <x v="0"/>
    <n v="5"/>
    <x v="1"/>
    <s v="No"/>
    <s v="-"/>
    <s v="No"/>
    <n v="0"/>
    <n v="0"/>
    <n v="5"/>
  </r>
  <r>
    <x v="32"/>
    <x v="32"/>
    <x v="0"/>
    <x v="31"/>
    <x v="1"/>
    <n v="15"/>
    <x v="0"/>
    <s v="Yes"/>
    <n v="30"/>
    <s v="Yes"/>
    <n v="20"/>
    <n v="3"/>
    <n v="62"/>
  </r>
  <r>
    <x v="33"/>
    <x v="33"/>
    <x v="2"/>
    <x v="32"/>
    <x v="0"/>
    <n v="10"/>
    <x v="2"/>
    <s v="No"/>
    <s v="-"/>
    <s v="Yes"/>
    <n v="20"/>
    <n v="15"/>
    <n v="15"/>
  </r>
  <r>
    <x v="34"/>
    <x v="34"/>
    <x v="1"/>
    <x v="33"/>
    <x v="1"/>
    <n v="5"/>
    <x v="0"/>
    <s v="No"/>
    <s v="-"/>
    <s v="No"/>
    <n v="0"/>
    <n v="1"/>
    <n v="4"/>
  </r>
  <r>
    <x v="35"/>
    <x v="35"/>
    <x v="1"/>
    <x v="34"/>
    <x v="0"/>
    <n v="5"/>
    <x v="0"/>
    <s v="No"/>
    <s v="-"/>
    <s v="No"/>
    <n v="0"/>
    <n v="0"/>
    <n v="5"/>
  </r>
  <r>
    <x v="36"/>
    <x v="36"/>
    <x v="0"/>
    <x v="35"/>
    <x v="1"/>
    <n v="15"/>
    <x v="2"/>
    <s v="Yes"/>
    <n v="30"/>
    <s v="Yes"/>
    <n v="20"/>
    <n v="7"/>
    <n v="58"/>
  </r>
  <r>
    <x v="37"/>
    <x v="37"/>
    <x v="2"/>
    <x v="36"/>
    <x v="0"/>
    <n v="10"/>
    <x v="1"/>
    <s v="No"/>
    <s v="-"/>
    <s v="Yes"/>
    <n v="20"/>
    <n v="10"/>
    <n v="20"/>
  </r>
  <r>
    <x v="38"/>
    <x v="38"/>
    <x v="1"/>
    <x v="37"/>
    <x v="1"/>
    <n v="5"/>
    <x v="2"/>
    <s v="No"/>
    <s v="-"/>
    <s v="No"/>
    <n v="0"/>
    <n v="1"/>
    <n v="4"/>
  </r>
  <r>
    <x v="39"/>
    <x v="39"/>
    <x v="0"/>
    <x v="38"/>
    <x v="0"/>
    <n v="15"/>
    <x v="0"/>
    <s v="Yes"/>
    <n v="30"/>
    <s v="Yes"/>
    <n v="20"/>
    <n v="15"/>
    <n v="50"/>
  </r>
  <r>
    <x v="40"/>
    <x v="40"/>
    <x v="2"/>
    <x v="39"/>
    <x v="1"/>
    <n v="10"/>
    <x v="0"/>
    <s v="No"/>
    <s v="-"/>
    <s v="Yes"/>
    <n v="20"/>
    <n v="5"/>
    <n v="25"/>
  </r>
  <r>
    <x v="41"/>
    <x v="41"/>
    <x v="1"/>
    <x v="40"/>
    <x v="0"/>
    <n v="5"/>
    <x v="1"/>
    <s v="No"/>
    <s v="-"/>
    <s v="No"/>
    <n v="0"/>
    <n v="0"/>
    <n v="5"/>
  </r>
  <r>
    <x v="42"/>
    <x v="42"/>
    <x v="0"/>
    <x v="41"/>
    <x v="1"/>
    <n v="15"/>
    <x v="2"/>
    <s v="Yes"/>
    <n v="30"/>
    <s v="Yes"/>
    <n v="20"/>
    <n v="20"/>
    <n v="45"/>
  </r>
  <r>
    <x v="43"/>
    <x v="43"/>
    <x v="2"/>
    <x v="42"/>
    <x v="0"/>
    <n v="10"/>
    <x v="2"/>
    <s v="No"/>
    <s v="-"/>
    <s v="Yes"/>
    <n v="20"/>
    <n v="12"/>
    <n v="18"/>
  </r>
  <r>
    <x v="44"/>
    <x v="44"/>
    <x v="1"/>
    <x v="43"/>
    <x v="1"/>
    <n v="5"/>
    <x v="0"/>
    <s v="No"/>
    <s v="-"/>
    <s v="No"/>
    <n v="0"/>
    <n v="2"/>
    <n v="3"/>
  </r>
  <r>
    <x v="45"/>
    <x v="45"/>
    <x v="0"/>
    <x v="44"/>
    <x v="0"/>
    <n v="15"/>
    <x v="1"/>
    <s v="Yes"/>
    <n v="30"/>
    <s v="Yes"/>
    <n v="20"/>
    <n v="5"/>
    <n v="60"/>
  </r>
  <r>
    <x v="46"/>
    <x v="46"/>
    <x v="2"/>
    <x v="45"/>
    <x v="1"/>
    <n v="10"/>
    <x v="0"/>
    <s v="No"/>
    <s v="-"/>
    <s v="Yes"/>
    <n v="20"/>
    <n v="10"/>
    <n v="20"/>
  </r>
  <r>
    <x v="47"/>
    <x v="47"/>
    <x v="1"/>
    <x v="46"/>
    <x v="0"/>
    <n v="5"/>
    <x v="2"/>
    <s v="No"/>
    <s v="-"/>
    <s v="No"/>
    <n v="0"/>
    <n v="0"/>
    <n v="5"/>
  </r>
  <r>
    <x v="48"/>
    <x v="48"/>
    <x v="0"/>
    <x v="47"/>
    <x v="1"/>
    <n v="15"/>
    <x v="0"/>
    <s v="Yes"/>
    <n v="30"/>
    <s v="Yes"/>
    <n v="20"/>
    <n v="3"/>
    <n v="62"/>
  </r>
  <r>
    <x v="49"/>
    <x v="49"/>
    <x v="2"/>
    <x v="48"/>
    <x v="0"/>
    <n v="10"/>
    <x v="1"/>
    <s v="No"/>
    <s v="-"/>
    <s v="Yes"/>
    <n v="20"/>
    <n v="15"/>
    <n v="15"/>
  </r>
  <r>
    <x v="50"/>
    <x v="50"/>
    <x v="1"/>
    <x v="49"/>
    <x v="1"/>
    <n v="5"/>
    <x v="0"/>
    <s v="No"/>
    <s v="-"/>
    <s v="No"/>
    <n v="0"/>
    <n v="1"/>
    <n v="4"/>
  </r>
  <r>
    <x v="51"/>
    <x v="51"/>
    <x v="0"/>
    <x v="50"/>
    <x v="0"/>
    <n v="15"/>
    <x v="2"/>
    <s v="Yes"/>
    <n v="30"/>
    <s v="Yes"/>
    <n v="20"/>
    <n v="7"/>
    <n v="58"/>
  </r>
  <r>
    <x v="52"/>
    <x v="52"/>
    <x v="2"/>
    <x v="51"/>
    <x v="1"/>
    <n v="10"/>
    <x v="0"/>
    <s v="No"/>
    <s v="-"/>
    <s v="Yes"/>
    <n v="20"/>
    <n v="10"/>
    <n v="20"/>
  </r>
  <r>
    <x v="53"/>
    <x v="53"/>
    <x v="1"/>
    <x v="52"/>
    <x v="0"/>
    <n v="5"/>
    <x v="1"/>
    <s v="No"/>
    <s v="-"/>
    <s v="No"/>
    <n v="0"/>
    <n v="0"/>
    <n v="5"/>
  </r>
  <r>
    <x v="54"/>
    <x v="54"/>
    <x v="0"/>
    <x v="53"/>
    <x v="1"/>
    <n v="15"/>
    <x v="0"/>
    <s v="Yes"/>
    <n v="30"/>
    <s v="Yes"/>
    <n v="20"/>
    <n v="20"/>
    <n v="45"/>
  </r>
  <r>
    <x v="55"/>
    <x v="55"/>
    <x v="2"/>
    <x v="54"/>
    <x v="0"/>
    <n v="10"/>
    <x v="2"/>
    <s v="No"/>
    <s v="-"/>
    <s v="Yes"/>
    <n v="20"/>
    <n v="15"/>
    <n v="15"/>
  </r>
  <r>
    <x v="56"/>
    <x v="56"/>
    <x v="1"/>
    <x v="55"/>
    <x v="1"/>
    <n v="5"/>
    <x v="0"/>
    <s v="No"/>
    <s v="-"/>
    <s v="No"/>
    <n v="0"/>
    <n v="1"/>
    <n v="4"/>
  </r>
  <r>
    <x v="57"/>
    <x v="57"/>
    <x v="0"/>
    <x v="56"/>
    <x v="0"/>
    <n v="15"/>
    <x v="1"/>
    <s v="Yes"/>
    <n v="30"/>
    <s v="Yes"/>
    <n v="20"/>
    <n v="3"/>
    <n v="62"/>
  </r>
  <r>
    <x v="58"/>
    <x v="58"/>
    <x v="2"/>
    <x v="57"/>
    <x v="1"/>
    <n v="10"/>
    <x v="0"/>
    <s v="No"/>
    <s v="-"/>
    <s v="Yes"/>
    <n v="20"/>
    <n v="10"/>
    <n v="20"/>
  </r>
  <r>
    <x v="59"/>
    <x v="59"/>
    <x v="1"/>
    <x v="58"/>
    <x v="0"/>
    <n v="5"/>
    <x v="2"/>
    <s v="No"/>
    <s v="-"/>
    <s v="No"/>
    <n v="0"/>
    <n v="0"/>
    <n v="5"/>
  </r>
  <r>
    <x v="60"/>
    <x v="60"/>
    <x v="0"/>
    <x v="59"/>
    <x v="1"/>
    <n v="15"/>
    <x v="0"/>
    <s v="Yes"/>
    <n v="30"/>
    <s v="Yes"/>
    <n v="20"/>
    <n v="5"/>
    <n v="60"/>
  </r>
  <r>
    <x v="61"/>
    <x v="61"/>
    <x v="2"/>
    <x v="60"/>
    <x v="0"/>
    <n v="10"/>
    <x v="1"/>
    <s v="No"/>
    <s v="-"/>
    <s v="Yes"/>
    <n v="20"/>
    <n v="15"/>
    <n v="15"/>
  </r>
  <r>
    <x v="62"/>
    <x v="62"/>
    <x v="1"/>
    <x v="61"/>
    <x v="1"/>
    <n v="5"/>
    <x v="0"/>
    <s v="No"/>
    <s v="-"/>
    <s v="No"/>
    <n v="0"/>
    <n v="1"/>
    <n v="4"/>
  </r>
  <r>
    <x v="63"/>
    <x v="63"/>
    <x v="0"/>
    <x v="62"/>
    <x v="0"/>
    <n v="15"/>
    <x v="2"/>
    <s v="Yes"/>
    <n v="30"/>
    <s v="Yes"/>
    <n v="20"/>
    <n v="20"/>
    <n v="45"/>
  </r>
  <r>
    <x v="64"/>
    <x v="64"/>
    <x v="2"/>
    <x v="63"/>
    <x v="1"/>
    <n v="10"/>
    <x v="0"/>
    <s v="No"/>
    <s v="-"/>
    <s v="Yes"/>
    <n v="20"/>
    <n v="5"/>
    <n v="25"/>
  </r>
  <r>
    <x v="65"/>
    <x v="65"/>
    <x v="1"/>
    <x v="64"/>
    <x v="1"/>
    <n v="5"/>
    <x v="0"/>
    <s v="No"/>
    <s v="-"/>
    <s v="No"/>
    <n v="0"/>
    <n v="0"/>
    <n v="5"/>
  </r>
  <r>
    <x v="66"/>
    <x v="66"/>
    <x v="0"/>
    <x v="65"/>
    <x v="0"/>
    <n v="15"/>
    <x v="2"/>
    <s v="Yes"/>
    <n v="30"/>
    <s v="Yes"/>
    <n v="20"/>
    <n v="7"/>
    <n v="58"/>
  </r>
  <r>
    <x v="67"/>
    <x v="67"/>
    <x v="2"/>
    <x v="66"/>
    <x v="1"/>
    <n v="10"/>
    <x v="1"/>
    <s v="No"/>
    <s v="-"/>
    <s v="Yes"/>
    <n v="20"/>
    <n v="10"/>
    <n v="20"/>
  </r>
  <r>
    <x v="68"/>
    <x v="68"/>
    <x v="1"/>
    <x v="67"/>
    <x v="0"/>
    <n v="5"/>
    <x v="2"/>
    <s v="No"/>
    <s v="-"/>
    <s v="No"/>
    <n v="0"/>
    <n v="1"/>
    <n v="4"/>
  </r>
  <r>
    <x v="69"/>
    <x v="69"/>
    <x v="0"/>
    <x v="68"/>
    <x v="1"/>
    <n v="15"/>
    <x v="0"/>
    <s v="Yes"/>
    <n v="30"/>
    <s v="Yes"/>
    <n v="20"/>
    <n v="15"/>
    <n v="50"/>
  </r>
  <r>
    <x v="70"/>
    <x v="70"/>
    <x v="2"/>
    <x v="69"/>
    <x v="0"/>
    <n v="10"/>
    <x v="0"/>
    <s v="No"/>
    <s v="-"/>
    <s v="Yes"/>
    <n v="20"/>
    <n v="5"/>
    <n v="25"/>
  </r>
  <r>
    <x v="71"/>
    <x v="71"/>
    <x v="1"/>
    <x v="70"/>
    <x v="1"/>
    <n v="5"/>
    <x v="1"/>
    <s v="No"/>
    <s v="-"/>
    <s v="No"/>
    <n v="0"/>
    <n v="0"/>
    <n v="5"/>
  </r>
  <r>
    <x v="72"/>
    <x v="72"/>
    <x v="0"/>
    <x v="71"/>
    <x v="0"/>
    <n v="15"/>
    <x v="2"/>
    <s v="Yes"/>
    <n v="30"/>
    <s v="Yes"/>
    <n v="20"/>
    <n v="20"/>
    <n v="45"/>
  </r>
  <r>
    <x v="73"/>
    <x v="73"/>
    <x v="2"/>
    <x v="72"/>
    <x v="1"/>
    <n v="10"/>
    <x v="2"/>
    <s v="No"/>
    <s v="-"/>
    <s v="Yes"/>
    <n v="20"/>
    <n v="12"/>
    <n v="18"/>
  </r>
  <r>
    <x v="74"/>
    <x v="74"/>
    <x v="1"/>
    <x v="73"/>
    <x v="0"/>
    <n v="5"/>
    <x v="0"/>
    <s v="No"/>
    <s v="-"/>
    <s v="No"/>
    <n v="0"/>
    <n v="2"/>
    <n v="3"/>
  </r>
  <r>
    <x v="75"/>
    <x v="75"/>
    <x v="0"/>
    <x v="74"/>
    <x v="1"/>
    <n v="15"/>
    <x v="1"/>
    <s v="Yes"/>
    <n v="30"/>
    <s v="Yes"/>
    <n v="20"/>
    <n v="5"/>
    <n v="60"/>
  </r>
  <r>
    <x v="76"/>
    <x v="76"/>
    <x v="2"/>
    <x v="75"/>
    <x v="0"/>
    <n v="10"/>
    <x v="0"/>
    <s v="No"/>
    <s v="-"/>
    <s v="Yes"/>
    <n v="20"/>
    <n v="10"/>
    <n v="20"/>
  </r>
  <r>
    <x v="77"/>
    <x v="77"/>
    <x v="1"/>
    <x v="76"/>
    <x v="1"/>
    <n v="5"/>
    <x v="2"/>
    <s v="No"/>
    <s v="-"/>
    <s v="No"/>
    <n v="0"/>
    <n v="0"/>
    <n v="5"/>
  </r>
  <r>
    <x v="78"/>
    <x v="78"/>
    <x v="0"/>
    <x v="77"/>
    <x v="0"/>
    <n v="15"/>
    <x v="0"/>
    <s v="Yes"/>
    <n v="30"/>
    <s v="Yes"/>
    <n v="20"/>
    <n v="3"/>
    <n v="62"/>
  </r>
  <r>
    <x v="79"/>
    <x v="79"/>
    <x v="2"/>
    <x v="78"/>
    <x v="1"/>
    <n v="10"/>
    <x v="1"/>
    <s v="No"/>
    <s v="-"/>
    <s v="Yes"/>
    <n v="20"/>
    <n v="15"/>
    <n v="15"/>
  </r>
  <r>
    <x v="80"/>
    <x v="80"/>
    <x v="1"/>
    <x v="79"/>
    <x v="0"/>
    <n v="5"/>
    <x v="0"/>
    <s v="No"/>
    <s v="-"/>
    <s v="No"/>
    <n v="0"/>
    <n v="1"/>
    <n v="4"/>
  </r>
  <r>
    <x v="81"/>
    <x v="81"/>
    <x v="0"/>
    <x v="80"/>
    <x v="1"/>
    <n v="15"/>
    <x v="2"/>
    <s v="Yes"/>
    <n v="30"/>
    <s v="Yes"/>
    <n v="20"/>
    <n v="7"/>
    <n v="58"/>
  </r>
  <r>
    <x v="82"/>
    <x v="82"/>
    <x v="2"/>
    <x v="81"/>
    <x v="0"/>
    <n v="10"/>
    <x v="0"/>
    <s v="No"/>
    <s v="-"/>
    <s v="Yes"/>
    <n v="20"/>
    <n v="10"/>
    <n v="20"/>
  </r>
  <r>
    <x v="83"/>
    <x v="83"/>
    <x v="1"/>
    <x v="82"/>
    <x v="1"/>
    <n v="5"/>
    <x v="1"/>
    <s v="No"/>
    <s v="-"/>
    <s v="No"/>
    <n v="0"/>
    <n v="0"/>
    <n v="5"/>
  </r>
  <r>
    <x v="84"/>
    <x v="84"/>
    <x v="0"/>
    <x v="83"/>
    <x v="0"/>
    <n v="15"/>
    <x v="0"/>
    <s v="Yes"/>
    <n v="30"/>
    <s v="Yes"/>
    <n v="20"/>
    <n v="20"/>
    <n v="45"/>
  </r>
  <r>
    <x v="85"/>
    <x v="85"/>
    <x v="2"/>
    <x v="84"/>
    <x v="1"/>
    <n v="10"/>
    <x v="2"/>
    <s v="No"/>
    <s v="-"/>
    <s v="Yes"/>
    <n v="20"/>
    <n v="15"/>
    <n v="15"/>
  </r>
  <r>
    <x v="86"/>
    <x v="86"/>
    <x v="1"/>
    <x v="85"/>
    <x v="0"/>
    <n v="5"/>
    <x v="0"/>
    <s v="No"/>
    <s v="-"/>
    <s v="No"/>
    <n v="0"/>
    <n v="1"/>
    <n v="4"/>
  </r>
  <r>
    <x v="87"/>
    <x v="87"/>
    <x v="0"/>
    <x v="86"/>
    <x v="1"/>
    <n v="15"/>
    <x v="1"/>
    <s v="Yes"/>
    <n v="30"/>
    <s v="Yes"/>
    <n v="20"/>
    <n v="3"/>
    <n v="62"/>
  </r>
  <r>
    <x v="88"/>
    <x v="88"/>
    <x v="2"/>
    <x v="87"/>
    <x v="0"/>
    <n v="10"/>
    <x v="0"/>
    <s v="No"/>
    <s v="-"/>
    <s v="Yes"/>
    <n v="20"/>
    <n v="10"/>
    <n v="20"/>
  </r>
  <r>
    <x v="89"/>
    <x v="89"/>
    <x v="1"/>
    <x v="88"/>
    <x v="1"/>
    <n v="5"/>
    <x v="2"/>
    <s v="No"/>
    <s v="-"/>
    <s v="No"/>
    <n v="0"/>
    <n v="0"/>
    <n v="5"/>
  </r>
  <r>
    <x v="90"/>
    <x v="90"/>
    <x v="0"/>
    <x v="89"/>
    <x v="0"/>
    <n v="15"/>
    <x v="0"/>
    <s v="Yes"/>
    <n v="30"/>
    <s v="Yes"/>
    <n v="20"/>
    <n v="5"/>
    <n v="60"/>
  </r>
  <r>
    <x v="91"/>
    <x v="91"/>
    <x v="2"/>
    <x v="90"/>
    <x v="1"/>
    <n v="10"/>
    <x v="1"/>
    <s v="No"/>
    <s v="-"/>
    <s v="Yes"/>
    <n v="20"/>
    <n v="15"/>
    <n v="15"/>
  </r>
  <r>
    <x v="92"/>
    <x v="92"/>
    <x v="1"/>
    <x v="91"/>
    <x v="0"/>
    <n v="5"/>
    <x v="0"/>
    <s v="No"/>
    <s v="-"/>
    <s v="No"/>
    <n v="0"/>
    <n v="1"/>
    <n v="4"/>
  </r>
  <r>
    <x v="93"/>
    <x v="93"/>
    <x v="0"/>
    <x v="92"/>
    <x v="1"/>
    <n v="15"/>
    <x v="2"/>
    <s v="Yes"/>
    <n v="30"/>
    <s v="Yes"/>
    <n v="20"/>
    <n v="20"/>
    <n v="45"/>
  </r>
  <r>
    <x v="94"/>
    <x v="94"/>
    <x v="2"/>
    <x v="93"/>
    <x v="0"/>
    <n v="10"/>
    <x v="2"/>
    <s v="No"/>
    <s v="-"/>
    <s v="Yes"/>
    <n v="20"/>
    <n v="15"/>
    <n v="15"/>
  </r>
  <r>
    <x v="95"/>
    <x v="95"/>
    <x v="1"/>
    <x v="94"/>
    <x v="1"/>
    <n v="5"/>
    <x v="1"/>
    <s v="No"/>
    <s v="-"/>
    <s v="No"/>
    <n v="0"/>
    <n v="0"/>
    <n v="5"/>
  </r>
  <r>
    <x v="96"/>
    <x v="96"/>
    <x v="0"/>
    <x v="95"/>
    <x v="0"/>
    <n v="15"/>
    <x v="0"/>
    <s v="Yes"/>
    <n v="30"/>
    <s v="Yes"/>
    <n v="20"/>
    <n v="7"/>
    <n v="58"/>
  </r>
  <r>
    <x v="97"/>
    <x v="97"/>
    <x v="2"/>
    <x v="96"/>
    <x v="1"/>
    <n v="10"/>
    <x v="1"/>
    <s v="No"/>
    <s v="-"/>
    <s v="Yes"/>
    <n v="20"/>
    <n v="10"/>
    <n v="20"/>
  </r>
  <r>
    <x v="98"/>
    <x v="98"/>
    <x v="1"/>
    <x v="97"/>
    <x v="0"/>
    <n v="5"/>
    <x v="2"/>
    <s v="No"/>
    <s v="-"/>
    <s v="No"/>
    <n v="0"/>
    <n v="1"/>
    <n v="4"/>
  </r>
  <r>
    <x v="99"/>
    <x v="99"/>
    <x v="0"/>
    <x v="98"/>
    <x v="1"/>
    <n v="15"/>
    <x v="0"/>
    <s v="Yes"/>
    <n v="30"/>
    <s v="Yes"/>
    <n v="20"/>
    <n v="15"/>
    <n v="50"/>
  </r>
  <r>
    <x v="100"/>
    <x v="100"/>
    <x v="2"/>
    <x v="99"/>
    <x v="0"/>
    <n v="10"/>
    <x v="0"/>
    <s v="No"/>
    <s v="-"/>
    <s v="Yes"/>
    <n v="20"/>
    <n v="5"/>
    <n v="25"/>
  </r>
  <r>
    <x v="101"/>
    <x v="101"/>
    <x v="1"/>
    <x v="100"/>
    <x v="1"/>
    <n v="5"/>
    <x v="1"/>
    <s v="No"/>
    <s v="-"/>
    <s v="No"/>
    <n v="0"/>
    <n v="0"/>
    <n v="5"/>
  </r>
  <r>
    <x v="102"/>
    <x v="102"/>
    <x v="0"/>
    <x v="101"/>
    <x v="0"/>
    <n v="15"/>
    <x v="2"/>
    <s v="Yes"/>
    <n v="30"/>
    <s v="Yes"/>
    <n v="20"/>
    <n v="20"/>
    <n v="45"/>
  </r>
  <r>
    <x v="103"/>
    <x v="103"/>
    <x v="2"/>
    <x v="102"/>
    <x v="1"/>
    <n v="10"/>
    <x v="2"/>
    <s v="No"/>
    <s v="-"/>
    <s v="Yes"/>
    <n v="20"/>
    <n v="12"/>
    <n v="18"/>
  </r>
  <r>
    <x v="104"/>
    <x v="104"/>
    <x v="1"/>
    <x v="103"/>
    <x v="0"/>
    <n v="5"/>
    <x v="0"/>
    <s v="No"/>
    <s v="-"/>
    <s v="No"/>
    <n v="0"/>
    <n v="2"/>
    <n v="3"/>
  </r>
  <r>
    <x v="105"/>
    <x v="105"/>
    <x v="1"/>
    <x v="104"/>
    <x v="0"/>
    <n v="5"/>
    <x v="0"/>
    <s v="No"/>
    <s v="-"/>
    <s v="No"/>
    <n v="0"/>
    <n v="0"/>
    <n v="5"/>
  </r>
  <r>
    <x v="106"/>
    <x v="106"/>
    <x v="0"/>
    <x v="105"/>
    <x v="1"/>
    <n v="15"/>
    <x v="2"/>
    <s v="Yes"/>
    <n v="30"/>
    <s v="Yes"/>
    <n v="20"/>
    <n v="7"/>
    <n v="58"/>
  </r>
  <r>
    <x v="107"/>
    <x v="107"/>
    <x v="2"/>
    <x v="106"/>
    <x v="0"/>
    <n v="10"/>
    <x v="1"/>
    <s v="No"/>
    <s v="-"/>
    <s v="Yes"/>
    <n v="20"/>
    <n v="10"/>
    <n v="20"/>
  </r>
  <r>
    <x v="108"/>
    <x v="108"/>
    <x v="1"/>
    <x v="107"/>
    <x v="1"/>
    <n v="5"/>
    <x v="2"/>
    <s v="No"/>
    <s v="-"/>
    <s v="No"/>
    <n v="0"/>
    <n v="1"/>
    <n v="4"/>
  </r>
  <r>
    <x v="109"/>
    <x v="109"/>
    <x v="0"/>
    <x v="108"/>
    <x v="0"/>
    <n v="15"/>
    <x v="0"/>
    <s v="Yes"/>
    <n v="30"/>
    <s v="Yes"/>
    <n v="20"/>
    <n v="15"/>
    <n v="50"/>
  </r>
  <r>
    <x v="110"/>
    <x v="110"/>
    <x v="2"/>
    <x v="109"/>
    <x v="1"/>
    <n v="10"/>
    <x v="0"/>
    <s v="No"/>
    <s v="-"/>
    <s v="Yes"/>
    <n v="20"/>
    <n v="5"/>
    <n v="25"/>
  </r>
  <r>
    <x v="111"/>
    <x v="111"/>
    <x v="1"/>
    <x v="110"/>
    <x v="0"/>
    <n v="5"/>
    <x v="1"/>
    <s v="No"/>
    <s v="-"/>
    <s v="No"/>
    <n v="0"/>
    <n v="0"/>
    <n v="5"/>
  </r>
  <r>
    <x v="112"/>
    <x v="112"/>
    <x v="0"/>
    <x v="111"/>
    <x v="1"/>
    <n v="15"/>
    <x v="2"/>
    <s v="Yes"/>
    <n v="30"/>
    <s v="Yes"/>
    <n v="20"/>
    <n v="20"/>
    <n v="45"/>
  </r>
  <r>
    <x v="113"/>
    <x v="113"/>
    <x v="2"/>
    <x v="112"/>
    <x v="0"/>
    <n v="10"/>
    <x v="2"/>
    <s v="No"/>
    <s v="-"/>
    <s v="Yes"/>
    <n v="20"/>
    <n v="12"/>
    <n v="18"/>
  </r>
  <r>
    <x v="114"/>
    <x v="114"/>
    <x v="1"/>
    <x v="113"/>
    <x v="1"/>
    <n v="5"/>
    <x v="0"/>
    <s v="No"/>
    <s v="-"/>
    <s v="No"/>
    <n v="0"/>
    <n v="2"/>
    <n v="3"/>
  </r>
  <r>
    <x v="115"/>
    <x v="115"/>
    <x v="0"/>
    <x v="114"/>
    <x v="0"/>
    <n v="15"/>
    <x v="1"/>
    <s v="Yes"/>
    <n v="30"/>
    <s v="Yes"/>
    <n v="20"/>
    <n v="5"/>
    <n v="60"/>
  </r>
  <r>
    <x v="116"/>
    <x v="116"/>
    <x v="2"/>
    <x v="115"/>
    <x v="1"/>
    <n v="10"/>
    <x v="0"/>
    <s v="No"/>
    <s v="-"/>
    <s v="Yes"/>
    <n v="20"/>
    <n v="10"/>
    <n v="20"/>
  </r>
  <r>
    <x v="117"/>
    <x v="117"/>
    <x v="1"/>
    <x v="116"/>
    <x v="0"/>
    <n v="5"/>
    <x v="2"/>
    <s v="No"/>
    <s v="-"/>
    <s v="No"/>
    <n v="0"/>
    <n v="0"/>
    <n v="5"/>
  </r>
  <r>
    <x v="118"/>
    <x v="93"/>
    <x v="0"/>
    <x v="117"/>
    <x v="1"/>
    <n v="15"/>
    <x v="0"/>
    <s v="Yes"/>
    <n v="30"/>
    <s v="Yes"/>
    <n v="20"/>
    <n v="3"/>
    <n v="62"/>
  </r>
  <r>
    <x v="119"/>
    <x v="118"/>
    <x v="2"/>
    <x v="118"/>
    <x v="0"/>
    <n v="10"/>
    <x v="1"/>
    <s v="No"/>
    <s v="-"/>
    <s v="Yes"/>
    <n v="20"/>
    <n v="15"/>
    <n v="15"/>
  </r>
  <r>
    <x v="120"/>
    <x v="119"/>
    <x v="1"/>
    <x v="119"/>
    <x v="1"/>
    <n v="5"/>
    <x v="0"/>
    <s v="No"/>
    <s v="-"/>
    <s v="No"/>
    <n v="0"/>
    <n v="1"/>
    <n v="4"/>
  </r>
  <r>
    <x v="121"/>
    <x v="120"/>
    <x v="0"/>
    <x v="120"/>
    <x v="0"/>
    <n v="15"/>
    <x v="2"/>
    <s v="Yes"/>
    <n v="30"/>
    <s v="Yes"/>
    <n v="20"/>
    <n v="7"/>
    <n v="58"/>
  </r>
  <r>
    <x v="122"/>
    <x v="121"/>
    <x v="2"/>
    <x v="121"/>
    <x v="1"/>
    <n v="10"/>
    <x v="0"/>
    <s v="No"/>
    <s v="-"/>
    <s v="Yes"/>
    <n v="20"/>
    <n v="10"/>
    <n v="20"/>
  </r>
  <r>
    <x v="123"/>
    <x v="122"/>
    <x v="1"/>
    <x v="122"/>
    <x v="0"/>
    <n v="5"/>
    <x v="1"/>
    <s v="No"/>
    <s v="-"/>
    <s v="No"/>
    <n v="0"/>
    <n v="0"/>
    <n v="5"/>
  </r>
  <r>
    <x v="124"/>
    <x v="123"/>
    <x v="0"/>
    <x v="123"/>
    <x v="1"/>
    <n v="15"/>
    <x v="0"/>
    <s v="Yes"/>
    <n v="30"/>
    <s v="Yes"/>
    <n v="20"/>
    <n v="20"/>
    <n v="45"/>
  </r>
  <r>
    <x v="125"/>
    <x v="124"/>
    <x v="2"/>
    <x v="124"/>
    <x v="0"/>
    <n v="10"/>
    <x v="2"/>
    <s v="No"/>
    <s v="-"/>
    <s v="Yes"/>
    <n v="20"/>
    <n v="15"/>
    <n v="15"/>
  </r>
  <r>
    <x v="126"/>
    <x v="125"/>
    <x v="1"/>
    <x v="125"/>
    <x v="1"/>
    <n v="5"/>
    <x v="0"/>
    <s v="No"/>
    <s v="-"/>
    <s v="No"/>
    <n v="0"/>
    <n v="1"/>
    <n v="4"/>
  </r>
  <r>
    <x v="127"/>
    <x v="126"/>
    <x v="0"/>
    <x v="126"/>
    <x v="0"/>
    <n v="15"/>
    <x v="1"/>
    <s v="Yes"/>
    <n v="30"/>
    <s v="Yes"/>
    <n v="20"/>
    <n v="3"/>
    <n v="62"/>
  </r>
  <r>
    <x v="128"/>
    <x v="127"/>
    <x v="2"/>
    <x v="127"/>
    <x v="1"/>
    <n v="10"/>
    <x v="0"/>
    <s v="No"/>
    <s v="-"/>
    <s v="Yes"/>
    <n v="20"/>
    <n v="10"/>
    <n v="20"/>
  </r>
  <r>
    <x v="129"/>
    <x v="128"/>
    <x v="1"/>
    <x v="128"/>
    <x v="0"/>
    <n v="5"/>
    <x v="2"/>
    <s v="No"/>
    <s v="-"/>
    <s v="No"/>
    <n v="0"/>
    <n v="0"/>
    <n v="5"/>
  </r>
  <r>
    <x v="130"/>
    <x v="129"/>
    <x v="0"/>
    <x v="129"/>
    <x v="1"/>
    <n v="15"/>
    <x v="0"/>
    <s v="Yes"/>
    <n v="30"/>
    <s v="Yes"/>
    <n v="20"/>
    <n v="15"/>
    <n v="50"/>
  </r>
  <r>
    <x v="131"/>
    <x v="130"/>
    <x v="2"/>
    <x v="130"/>
    <x v="0"/>
    <n v="10"/>
    <x v="1"/>
    <s v="No"/>
    <s v="-"/>
    <s v="Yes"/>
    <n v="20"/>
    <n v="15"/>
    <n v="15"/>
  </r>
  <r>
    <x v="132"/>
    <x v="131"/>
    <x v="1"/>
    <x v="131"/>
    <x v="1"/>
    <n v="5"/>
    <x v="0"/>
    <s v="No"/>
    <s v="-"/>
    <s v="No"/>
    <n v="0"/>
    <n v="1"/>
    <n v="4"/>
  </r>
  <r>
    <x v="133"/>
    <x v="132"/>
    <x v="0"/>
    <x v="132"/>
    <x v="0"/>
    <n v="15"/>
    <x v="2"/>
    <s v="Yes"/>
    <n v="30"/>
    <s v="Yes"/>
    <n v="20"/>
    <n v="7"/>
    <n v="58"/>
  </r>
  <r>
    <x v="134"/>
    <x v="133"/>
    <x v="2"/>
    <x v="133"/>
    <x v="1"/>
    <n v="10"/>
    <x v="0"/>
    <s v="No"/>
    <s v="-"/>
    <s v="Yes"/>
    <n v="20"/>
    <n v="10"/>
    <n v="20"/>
  </r>
  <r>
    <x v="135"/>
    <x v="134"/>
    <x v="1"/>
    <x v="134"/>
    <x v="0"/>
    <n v="5"/>
    <x v="0"/>
    <s v="No"/>
    <s v="-"/>
    <s v="No"/>
    <n v="0"/>
    <n v="0"/>
    <n v="5"/>
  </r>
  <r>
    <x v="136"/>
    <x v="135"/>
    <x v="0"/>
    <x v="135"/>
    <x v="1"/>
    <n v="15"/>
    <x v="2"/>
    <s v="Yes"/>
    <n v="30"/>
    <s v="Yes"/>
    <n v="20"/>
    <n v="7"/>
    <n v="58"/>
  </r>
  <r>
    <x v="137"/>
    <x v="136"/>
    <x v="2"/>
    <x v="136"/>
    <x v="0"/>
    <n v="10"/>
    <x v="1"/>
    <s v="No"/>
    <s v="-"/>
    <s v="Yes"/>
    <n v="20"/>
    <n v="10"/>
    <n v="20"/>
  </r>
  <r>
    <x v="138"/>
    <x v="137"/>
    <x v="1"/>
    <x v="137"/>
    <x v="1"/>
    <n v="5"/>
    <x v="2"/>
    <s v="No"/>
    <s v="-"/>
    <s v="No"/>
    <n v="0"/>
    <n v="1"/>
    <n v="4"/>
  </r>
  <r>
    <x v="139"/>
    <x v="138"/>
    <x v="0"/>
    <x v="138"/>
    <x v="0"/>
    <n v="15"/>
    <x v="0"/>
    <s v="Yes"/>
    <n v="30"/>
    <s v="Yes"/>
    <n v="20"/>
    <n v="15"/>
    <n v="50"/>
  </r>
  <r>
    <x v="140"/>
    <x v="139"/>
    <x v="2"/>
    <x v="139"/>
    <x v="1"/>
    <n v="10"/>
    <x v="0"/>
    <s v="No"/>
    <s v="-"/>
    <s v="Yes"/>
    <n v="20"/>
    <n v="5"/>
    <n v="25"/>
  </r>
  <r>
    <x v="141"/>
    <x v="140"/>
    <x v="1"/>
    <x v="140"/>
    <x v="0"/>
    <n v="5"/>
    <x v="1"/>
    <s v="No"/>
    <s v="-"/>
    <s v="No"/>
    <n v="0"/>
    <n v="0"/>
    <n v="5"/>
  </r>
  <r>
    <x v="142"/>
    <x v="141"/>
    <x v="0"/>
    <x v="141"/>
    <x v="1"/>
    <n v="15"/>
    <x v="2"/>
    <s v="Yes"/>
    <n v="30"/>
    <s v="Yes"/>
    <n v="20"/>
    <n v="20"/>
    <n v="45"/>
  </r>
  <r>
    <x v="143"/>
    <x v="142"/>
    <x v="2"/>
    <x v="142"/>
    <x v="0"/>
    <n v="10"/>
    <x v="2"/>
    <s v="No"/>
    <s v="-"/>
    <s v="Yes"/>
    <n v="20"/>
    <n v="12"/>
    <n v="18"/>
  </r>
  <r>
    <x v="144"/>
    <x v="143"/>
    <x v="1"/>
    <x v="143"/>
    <x v="1"/>
    <n v="5"/>
    <x v="0"/>
    <s v="No"/>
    <s v="-"/>
    <s v="No"/>
    <n v="0"/>
    <n v="2"/>
    <n v="3"/>
  </r>
  <r>
    <x v="145"/>
    <x v="144"/>
    <x v="0"/>
    <x v="144"/>
    <x v="0"/>
    <n v="15"/>
    <x v="1"/>
    <s v="Yes"/>
    <n v="30"/>
    <s v="Yes"/>
    <n v="20"/>
    <n v="5"/>
    <n v="60"/>
  </r>
  <r>
    <x v="146"/>
    <x v="145"/>
    <x v="2"/>
    <x v="145"/>
    <x v="1"/>
    <n v="10"/>
    <x v="0"/>
    <s v="No"/>
    <s v="-"/>
    <s v="Yes"/>
    <n v="20"/>
    <n v="10"/>
    <n v="20"/>
  </r>
  <r>
    <x v="147"/>
    <x v="146"/>
    <x v="1"/>
    <x v="146"/>
    <x v="0"/>
    <n v="5"/>
    <x v="2"/>
    <s v="No"/>
    <s v="-"/>
    <s v="No"/>
    <n v="0"/>
    <n v="0"/>
    <n v="5"/>
  </r>
  <r>
    <x v="148"/>
    <x v="147"/>
    <x v="0"/>
    <x v="147"/>
    <x v="1"/>
    <n v="15"/>
    <x v="0"/>
    <s v="Yes"/>
    <n v="30"/>
    <s v="Yes"/>
    <n v="20"/>
    <n v="3"/>
    <n v="62"/>
  </r>
  <r>
    <x v="149"/>
    <x v="148"/>
    <x v="2"/>
    <x v="148"/>
    <x v="0"/>
    <n v="10"/>
    <x v="1"/>
    <s v="No"/>
    <s v="-"/>
    <s v="Yes"/>
    <n v="20"/>
    <n v="15"/>
    <n v="15"/>
  </r>
  <r>
    <x v="150"/>
    <x v="149"/>
    <x v="1"/>
    <x v="149"/>
    <x v="1"/>
    <n v="5"/>
    <x v="0"/>
    <s v="No"/>
    <s v="-"/>
    <s v="No"/>
    <n v="0"/>
    <n v="1"/>
    <n v="4"/>
  </r>
  <r>
    <x v="151"/>
    <x v="150"/>
    <x v="0"/>
    <x v="150"/>
    <x v="0"/>
    <n v="15"/>
    <x v="2"/>
    <s v="Yes"/>
    <n v="30"/>
    <s v="Yes"/>
    <n v="20"/>
    <n v="7"/>
    <n v="58"/>
  </r>
  <r>
    <x v="152"/>
    <x v="151"/>
    <x v="2"/>
    <x v="151"/>
    <x v="1"/>
    <n v="10"/>
    <x v="0"/>
    <s v="No"/>
    <s v="-"/>
    <s v="Yes"/>
    <n v="20"/>
    <n v="10"/>
    <n v="20"/>
  </r>
  <r>
    <x v="153"/>
    <x v="152"/>
    <x v="1"/>
    <x v="152"/>
    <x v="0"/>
    <n v="5"/>
    <x v="1"/>
    <s v="No"/>
    <s v="-"/>
    <s v="No"/>
    <n v="0"/>
    <n v="0"/>
    <n v="5"/>
  </r>
  <r>
    <x v="154"/>
    <x v="153"/>
    <x v="0"/>
    <x v="153"/>
    <x v="1"/>
    <n v="15"/>
    <x v="0"/>
    <s v="Yes"/>
    <n v="30"/>
    <s v="Yes"/>
    <n v="20"/>
    <n v="20"/>
    <n v="45"/>
  </r>
  <r>
    <x v="155"/>
    <x v="154"/>
    <x v="2"/>
    <x v="154"/>
    <x v="0"/>
    <n v="10"/>
    <x v="2"/>
    <s v="No"/>
    <s v="-"/>
    <s v="Yes"/>
    <n v="20"/>
    <n v="15"/>
    <n v="15"/>
  </r>
  <r>
    <x v="156"/>
    <x v="155"/>
    <x v="1"/>
    <x v="155"/>
    <x v="1"/>
    <n v="5"/>
    <x v="0"/>
    <s v="No"/>
    <s v="-"/>
    <s v="No"/>
    <n v="0"/>
    <n v="1"/>
    <n v="4"/>
  </r>
  <r>
    <x v="157"/>
    <x v="156"/>
    <x v="0"/>
    <x v="156"/>
    <x v="0"/>
    <n v="15"/>
    <x v="1"/>
    <s v="Yes"/>
    <n v="30"/>
    <s v="Yes"/>
    <n v="20"/>
    <n v="3"/>
    <n v="62"/>
  </r>
  <r>
    <x v="158"/>
    <x v="157"/>
    <x v="2"/>
    <x v="157"/>
    <x v="1"/>
    <n v="10"/>
    <x v="0"/>
    <s v="No"/>
    <s v="-"/>
    <s v="Yes"/>
    <n v="20"/>
    <n v="10"/>
    <n v="20"/>
  </r>
  <r>
    <x v="159"/>
    <x v="158"/>
    <x v="1"/>
    <x v="158"/>
    <x v="0"/>
    <n v="5"/>
    <x v="2"/>
    <s v="No"/>
    <s v="-"/>
    <s v="No"/>
    <n v="0"/>
    <n v="0"/>
    <n v="5"/>
  </r>
  <r>
    <x v="160"/>
    <x v="58"/>
    <x v="0"/>
    <x v="159"/>
    <x v="1"/>
    <n v="15"/>
    <x v="0"/>
    <s v="Yes"/>
    <n v="30"/>
    <s v="Yes"/>
    <n v="20"/>
    <n v="15"/>
    <n v="50"/>
  </r>
  <r>
    <x v="161"/>
    <x v="159"/>
    <x v="2"/>
    <x v="160"/>
    <x v="0"/>
    <n v="10"/>
    <x v="1"/>
    <s v="No"/>
    <s v="-"/>
    <s v="Yes"/>
    <n v="20"/>
    <n v="15"/>
    <n v="15"/>
  </r>
  <r>
    <x v="162"/>
    <x v="160"/>
    <x v="1"/>
    <x v="161"/>
    <x v="1"/>
    <n v="5"/>
    <x v="0"/>
    <s v="No"/>
    <s v="-"/>
    <s v="No"/>
    <n v="0"/>
    <n v="1"/>
    <n v="4"/>
  </r>
  <r>
    <x v="163"/>
    <x v="161"/>
    <x v="0"/>
    <x v="162"/>
    <x v="0"/>
    <n v="15"/>
    <x v="2"/>
    <s v="Yes"/>
    <n v="30"/>
    <s v="Yes"/>
    <n v="20"/>
    <n v="7"/>
    <n v="58"/>
  </r>
  <r>
    <x v="164"/>
    <x v="162"/>
    <x v="2"/>
    <x v="163"/>
    <x v="1"/>
    <n v="10"/>
    <x v="0"/>
    <s v="No"/>
    <s v="-"/>
    <s v="Yes"/>
    <n v="20"/>
    <n v="10"/>
    <n v="20"/>
  </r>
  <r>
    <x v="165"/>
    <x v="163"/>
    <x v="1"/>
    <x v="164"/>
    <x v="0"/>
    <n v="5"/>
    <x v="1"/>
    <s v="No"/>
    <s v="-"/>
    <s v="No"/>
    <n v="0"/>
    <n v="0"/>
    <n v="5"/>
  </r>
  <r>
    <x v="166"/>
    <x v="90"/>
    <x v="0"/>
    <x v="165"/>
    <x v="1"/>
    <n v="15"/>
    <x v="0"/>
    <s v="Yes"/>
    <n v="30"/>
    <s v="Yes"/>
    <n v="20"/>
    <n v="20"/>
    <n v="45"/>
  </r>
  <r>
    <x v="167"/>
    <x v="164"/>
    <x v="2"/>
    <x v="166"/>
    <x v="0"/>
    <n v="10"/>
    <x v="2"/>
    <s v="No"/>
    <s v="-"/>
    <s v="Yes"/>
    <n v="20"/>
    <n v="15"/>
    <n v="15"/>
  </r>
  <r>
    <x v="168"/>
    <x v="165"/>
    <x v="1"/>
    <x v="167"/>
    <x v="1"/>
    <n v="5"/>
    <x v="0"/>
    <s v="No"/>
    <s v="-"/>
    <s v="No"/>
    <n v="0"/>
    <n v="1"/>
    <n v="4"/>
  </r>
  <r>
    <x v="169"/>
    <x v="166"/>
    <x v="0"/>
    <x v="168"/>
    <x v="0"/>
    <n v="15"/>
    <x v="1"/>
    <s v="Yes"/>
    <n v="30"/>
    <s v="Yes"/>
    <n v="20"/>
    <n v="5"/>
    <n v="60"/>
  </r>
  <r>
    <x v="170"/>
    <x v="167"/>
    <x v="2"/>
    <x v="169"/>
    <x v="1"/>
    <n v="10"/>
    <x v="0"/>
    <s v="No"/>
    <s v="-"/>
    <s v="Yes"/>
    <n v="20"/>
    <n v="10"/>
    <n v="20"/>
  </r>
  <r>
    <x v="171"/>
    <x v="168"/>
    <x v="1"/>
    <x v="170"/>
    <x v="0"/>
    <n v="5"/>
    <x v="2"/>
    <s v="No"/>
    <s v="-"/>
    <s v="No"/>
    <n v="0"/>
    <n v="0"/>
    <n v="5"/>
  </r>
  <r>
    <x v="172"/>
    <x v="169"/>
    <x v="0"/>
    <x v="171"/>
    <x v="1"/>
    <n v="15"/>
    <x v="0"/>
    <s v="Yes"/>
    <n v="30"/>
    <s v="Yes"/>
    <n v="20"/>
    <n v="3"/>
    <n v="62"/>
  </r>
  <r>
    <x v="173"/>
    <x v="170"/>
    <x v="2"/>
    <x v="172"/>
    <x v="0"/>
    <n v="10"/>
    <x v="1"/>
    <s v="No"/>
    <s v="-"/>
    <s v="Yes"/>
    <n v="20"/>
    <n v="15"/>
    <n v="15"/>
  </r>
  <r>
    <x v="174"/>
    <x v="171"/>
    <x v="1"/>
    <x v="173"/>
    <x v="1"/>
    <n v="5"/>
    <x v="0"/>
    <s v="No"/>
    <s v="-"/>
    <s v="No"/>
    <n v="0"/>
    <n v="1"/>
    <n v="4"/>
  </r>
  <r>
    <x v="175"/>
    <x v="172"/>
    <x v="1"/>
    <x v="174"/>
    <x v="0"/>
    <n v="5"/>
    <x v="0"/>
    <s v="No"/>
    <s v="-"/>
    <s v="No"/>
    <n v="0"/>
    <n v="0"/>
    <n v="5"/>
  </r>
  <r>
    <x v="176"/>
    <x v="173"/>
    <x v="0"/>
    <x v="175"/>
    <x v="1"/>
    <n v="15"/>
    <x v="2"/>
    <s v="Yes"/>
    <n v="30"/>
    <s v="Yes"/>
    <n v="20"/>
    <n v="7"/>
    <n v="58"/>
  </r>
  <r>
    <x v="177"/>
    <x v="174"/>
    <x v="2"/>
    <x v="176"/>
    <x v="0"/>
    <n v="10"/>
    <x v="1"/>
    <s v="No"/>
    <s v="-"/>
    <s v="Yes"/>
    <n v="20"/>
    <n v="10"/>
    <n v="20"/>
  </r>
  <r>
    <x v="178"/>
    <x v="175"/>
    <x v="1"/>
    <x v="177"/>
    <x v="1"/>
    <n v="5"/>
    <x v="2"/>
    <s v="No"/>
    <s v="-"/>
    <s v="No"/>
    <n v="0"/>
    <n v="1"/>
    <n v="4"/>
  </r>
  <r>
    <x v="179"/>
    <x v="176"/>
    <x v="0"/>
    <x v="178"/>
    <x v="0"/>
    <n v="15"/>
    <x v="0"/>
    <s v="Yes"/>
    <n v="30"/>
    <s v="Yes"/>
    <n v="20"/>
    <n v="15"/>
    <n v="50"/>
  </r>
  <r>
    <x v="180"/>
    <x v="177"/>
    <x v="2"/>
    <x v="179"/>
    <x v="1"/>
    <n v="10"/>
    <x v="0"/>
    <s v="No"/>
    <s v="-"/>
    <s v="Yes"/>
    <n v="20"/>
    <n v="5"/>
    <n v="25"/>
  </r>
  <r>
    <x v="181"/>
    <x v="178"/>
    <x v="1"/>
    <x v="180"/>
    <x v="0"/>
    <n v="5"/>
    <x v="1"/>
    <s v="No"/>
    <s v="-"/>
    <s v="No"/>
    <n v="0"/>
    <n v="0"/>
    <n v="5"/>
  </r>
  <r>
    <x v="182"/>
    <x v="179"/>
    <x v="0"/>
    <x v="181"/>
    <x v="1"/>
    <n v="15"/>
    <x v="2"/>
    <s v="Yes"/>
    <n v="30"/>
    <s v="Yes"/>
    <n v="20"/>
    <n v="20"/>
    <n v="45"/>
  </r>
  <r>
    <x v="183"/>
    <x v="180"/>
    <x v="2"/>
    <x v="182"/>
    <x v="0"/>
    <n v="10"/>
    <x v="2"/>
    <s v="No"/>
    <s v="-"/>
    <s v="Yes"/>
    <n v="20"/>
    <n v="12"/>
    <n v="18"/>
  </r>
  <r>
    <x v="184"/>
    <x v="181"/>
    <x v="1"/>
    <x v="183"/>
    <x v="1"/>
    <n v="5"/>
    <x v="0"/>
    <s v="No"/>
    <s v="-"/>
    <s v="No"/>
    <n v="0"/>
    <n v="2"/>
    <n v="3"/>
  </r>
  <r>
    <x v="185"/>
    <x v="182"/>
    <x v="0"/>
    <x v="184"/>
    <x v="0"/>
    <n v="15"/>
    <x v="1"/>
    <s v="Yes"/>
    <n v="30"/>
    <s v="Yes"/>
    <n v="20"/>
    <n v="5"/>
    <n v="60"/>
  </r>
  <r>
    <x v="186"/>
    <x v="183"/>
    <x v="2"/>
    <x v="185"/>
    <x v="1"/>
    <n v="10"/>
    <x v="0"/>
    <s v="No"/>
    <s v="-"/>
    <s v="Yes"/>
    <n v="20"/>
    <n v="10"/>
    <n v="20"/>
  </r>
  <r>
    <x v="187"/>
    <x v="184"/>
    <x v="1"/>
    <x v="186"/>
    <x v="0"/>
    <n v="5"/>
    <x v="2"/>
    <s v="No"/>
    <s v="-"/>
    <s v="No"/>
    <n v="0"/>
    <n v="0"/>
    <n v="5"/>
  </r>
  <r>
    <x v="188"/>
    <x v="185"/>
    <x v="0"/>
    <x v="187"/>
    <x v="1"/>
    <n v="15"/>
    <x v="0"/>
    <s v="Yes"/>
    <n v="30"/>
    <s v="Yes"/>
    <n v="20"/>
    <n v="3"/>
    <n v="62"/>
  </r>
  <r>
    <x v="189"/>
    <x v="186"/>
    <x v="2"/>
    <x v="188"/>
    <x v="0"/>
    <n v="10"/>
    <x v="1"/>
    <s v="No"/>
    <s v="-"/>
    <s v="Yes"/>
    <n v="20"/>
    <n v="15"/>
    <n v="15"/>
  </r>
  <r>
    <x v="190"/>
    <x v="15"/>
    <x v="1"/>
    <x v="189"/>
    <x v="1"/>
    <n v="5"/>
    <x v="0"/>
    <s v="No"/>
    <s v="-"/>
    <s v="No"/>
    <n v="0"/>
    <n v="1"/>
    <n v="4"/>
  </r>
  <r>
    <x v="191"/>
    <x v="187"/>
    <x v="0"/>
    <x v="190"/>
    <x v="0"/>
    <n v="15"/>
    <x v="2"/>
    <s v="Yes"/>
    <n v="30"/>
    <s v="Yes"/>
    <n v="20"/>
    <n v="7"/>
    <n v="58"/>
  </r>
  <r>
    <x v="192"/>
    <x v="188"/>
    <x v="2"/>
    <x v="191"/>
    <x v="1"/>
    <n v="10"/>
    <x v="0"/>
    <s v="No"/>
    <s v="-"/>
    <s v="Yes"/>
    <n v="20"/>
    <n v="10"/>
    <n v="20"/>
  </r>
  <r>
    <x v="193"/>
    <x v="14"/>
    <x v="1"/>
    <x v="192"/>
    <x v="0"/>
    <n v="5"/>
    <x v="1"/>
    <s v="No"/>
    <s v="-"/>
    <s v="No"/>
    <n v="0"/>
    <n v="0"/>
    <n v="5"/>
  </r>
  <r>
    <x v="194"/>
    <x v="189"/>
    <x v="0"/>
    <x v="193"/>
    <x v="1"/>
    <n v="15"/>
    <x v="0"/>
    <s v="Yes"/>
    <n v="30"/>
    <s v="Yes"/>
    <n v="20"/>
    <n v="20"/>
    <n v="45"/>
  </r>
  <r>
    <x v="195"/>
    <x v="167"/>
    <x v="2"/>
    <x v="194"/>
    <x v="0"/>
    <n v="10"/>
    <x v="2"/>
    <s v="No"/>
    <s v="-"/>
    <s v="Yes"/>
    <n v="20"/>
    <n v="15"/>
    <n v="15"/>
  </r>
  <r>
    <x v="196"/>
    <x v="190"/>
    <x v="1"/>
    <x v="195"/>
    <x v="1"/>
    <n v="5"/>
    <x v="0"/>
    <s v="No"/>
    <s v="-"/>
    <s v="No"/>
    <n v="0"/>
    <n v="1"/>
    <n v="4"/>
  </r>
  <r>
    <x v="197"/>
    <x v="191"/>
    <x v="0"/>
    <x v="196"/>
    <x v="0"/>
    <n v="15"/>
    <x v="1"/>
    <s v="Yes"/>
    <n v="30"/>
    <s v="Yes"/>
    <n v="20"/>
    <n v="3"/>
    <n v="62"/>
  </r>
  <r>
    <x v="198"/>
    <x v="192"/>
    <x v="2"/>
    <x v="197"/>
    <x v="1"/>
    <n v="10"/>
    <x v="0"/>
    <s v="No"/>
    <s v="-"/>
    <s v="Yes"/>
    <n v="20"/>
    <n v="10"/>
    <n v="20"/>
  </r>
  <r>
    <x v="199"/>
    <x v="193"/>
    <x v="1"/>
    <x v="198"/>
    <x v="0"/>
    <n v="5"/>
    <x v="2"/>
    <s v="No"/>
    <s v="-"/>
    <s v="No"/>
    <n v="0"/>
    <n v="0"/>
    <n v="5"/>
  </r>
  <r>
    <x v="200"/>
    <x v="194"/>
    <x v="0"/>
    <x v="199"/>
    <x v="1"/>
    <n v="15"/>
    <x v="0"/>
    <s v="Yes"/>
    <n v="30"/>
    <s v="Yes"/>
    <n v="20"/>
    <n v="15"/>
    <n v="50"/>
  </r>
  <r>
    <x v="201"/>
    <x v="195"/>
    <x v="2"/>
    <x v="200"/>
    <x v="0"/>
    <n v="10"/>
    <x v="1"/>
    <s v="No"/>
    <s v="-"/>
    <s v="Yes"/>
    <n v="20"/>
    <n v="15"/>
    <n v="15"/>
  </r>
  <r>
    <x v="202"/>
    <x v="196"/>
    <x v="1"/>
    <x v="201"/>
    <x v="1"/>
    <n v="5"/>
    <x v="0"/>
    <s v="No"/>
    <s v="-"/>
    <s v="No"/>
    <n v="0"/>
    <n v="1"/>
    <n v="4"/>
  </r>
  <r>
    <x v="203"/>
    <x v="197"/>
    <x v="0"/>
    <x v="202"/>
    <x v="0"/>
    <n v="15"/>
    <x v="2"/>
    <s v="Yes"/>
    <n v="30"/>
    <s v="Yes"/>
    <n v="20"/>
    <n v="7"/>
    <n v="58"/>
  </r>
  <r>
    <x v="204"/>
    <x v="198"/>
    <x v="2"/>
    <x v="203"/>
    <x v="1"/>
    <n v="10"/>
    <x v="0"/>
    <s v="No"/>
    <s v="-"/>
    <s v="Yes"/>
    <n v="20"/>
    <n v="10"/>
    <n v="20"/>
  </r>
  <r>
    <x v="205"/>
    <x v="199"/>
    <x v="1"/>
    <x v="204"/>
    <x v="0"/>
    <n v="5"/>
    <x v="0"/>
    <s v="No"/>
    <s v="-"/>
    <s v="No"/>
    <n v="0"/>
    <n v="0"/>
    <n v="5"/>
  </r>
  <r>
    <x v="206"/>
    <x v="200"/>
    <x v="0"/>
    <x v="205"/>
    <x v="1"/>
    <n v="15"/>
    <x v="2"/>
    <s v="Yes"/>
    <n v="30"/>
    <s v="Yes"/>
    <n v="20"/>
    <n v="7"/>
    <n v="58"/>
  </r>
  <r>
    <x v="207"/>
    <x v="201"/>
    <x v="2"/>
    <x v="206"/>
    <x v="0"/>
    <n v="10"/>
    <x v="1"/>
    <s v="No"/>
    <s v="-"/>
    <s v="Yes"/>
    <n v="20"/>
    <n v="10"/>
    <n v="20"/>
  </r>
  <r>
    <x v="208"/>
    <x v="202"/>
    <x v="1"/>
    <x v="207"/>
    <x v="1"/>
    <n v="5"/>
    <x v="2"/>
    <s v="No"/>
    <s v="-"/>
    <s v="No"/>
    <n v="0"/>
    <n v="1"/>
    <n v="4"/>
  </r>
  <r>
    <x v="209"/>
    <x v="203"/>
    <x v="0"/>
    <x v="208"/>
    <x v="0"/>
    <n v="15"/>
    <x v="0"/>
    <s v="Yes"/>
    <n v="30"/>
    <s v="Yes"/>
    <n v="20"/>
    <n v="15"/>
    <n v="50"/>
  </r>
  <r>
    <x v="210"/>
    <x v="204"/>
    <x v="2"/>
    <x v="209"/>
    <x v="1"/>
    <n v="10"/>
    <x v="0"/>
    <s v="No"/>
    <s v="-"/>
    <s v="Yes"/>
    <n v="20"/>
    <n v="5"/>
    <n v="25"/>
  </r>
  <r>
    <x v="211"/>
    <x v="205"/>
    <x v="1"/>
    <x v="210"/>
    <x v="0"/>
    <n v="5"/>
    <x v="1"/>
    <s v="No"/>
    <s v="-"/>
    <s v="No"/>
    <n v="0"/>
    <n v="0"/>
    <n v="5"/>
  </r>
  <r>
    <x v="212"/>
    <x v="206"/>
    <x v="0"/>
    <x v="211"/>
    <x v="1"/>
    <n v="15"/>
    <x v="2"/>
    <s v="Yes"/>
    <n v="30"/>
    <s v="Yes"/>
    <n v="20"/>
    <n v="20"/>
    <n v="45"/>
  </r>
  <r>
    <x v="213"/>
    <x v="207"/>
    <x v="2"/>
    <x v="212"/>
    <x v="0"/>
    <n v="10"/>
    <x v="2"/>
    <s v="No"/>
    <s v="-"/>
    <s v="Yes"/>
    <n v="20"/>
    <n v="12"/>
    <n v="18"/>
  </r>
  <r>
    <x v="214"/>
    <x v="37"/>
    <x v="1"/>
    <x v="213"/>
    <x v="1"/>
    <n v="5"/>
    <x v="0"/>
    <s v="No"/>
    <s v="-"/>
    <s v="No"/>
    <n v="0"/>
    <n v="2"/>
    <n v="3"/>
  </r>
  <r>
    <x v="215"/>
    <x v="208"/>
    <x v="0"/>
    <x v="214"/>
    <x v="0"/>
    <n v="15"/>
    <x v="1"/>
    <s v="Yes"/>
    <n v="30"/>
    <s v="Yes"/>
    <n v="20"/>
    <n v="5"/>
    <n v="60"/>
  </r>
  <r>
    <x v="216"/>
    <x v="209"/>
    <x v="2"/>
    <x v="215"/>
    <x v="1"/>
    <n v="10"/>
    <x v="0"/>
    <s v="No"/>
    <s v="-"/>
    <s v="Yes"/>
    <n v="20"/>
    <n v="10"/>
    <n v="20"/>
  </r>
  <r>
    <x v="217"/>
    <x v="210"/>
    <x v="1"/>
    <x v="216"/>
    <x v="0"/>
    <n v="5"/>
    <x v="2"/>
    <s v="No"/>
    <s v="-"/>
    <s v="No"/>
    <n v="0"/>
    <n v="0"/>
    <n v="5"/>
  </r>
  <r>
    <x v="218"/>
    <x v="211"/>
    <x v="0"/>
    <x v="217"/>
    <x v="1"/>
    <n v="15"/>
    <x v="0"/>
    <s v="Yes"/>
    <n v="30"/>
    <s v="Yes"/>
    <n v="20"/>
    <n v="3"/>
    <n v="62"/>
  </r>
  <r>
    <x v="219"/>
    <x v="212"/>
    <x v="2"/>
    <x v="218"/>
    <x v="0"/>
    <n v="10"/>
    <x v="1"/>
    <s v="No"/>
    <s v="-"/>
    <s v="Yes"/>
    <n v="20"/>
    <n v="15"/>
    <n v="15"/>
  </r>
  <r>
    <x v="220"/>
    <x v="213"/>
    <x v="1"/>
    <x v="219"/>
    <x v="1"/>
    <n v="5"/>
    <x v="0"/>
    <s v="No"/>
    <s v="-"/>
    <s v="No"/>
    <n v="0"/>
    <n v="1"/>
    <n v="4"/>
  </r>
  <r>
    <x v="221"/>
    <x v="191"/>
    <x v="0"/>
    <x v="220"/>
    <x v="0"/>
    <n v="15"/>
    <x v="2"/>
    <s v="Yes"/>
    <n v="30"/>
    <s v="Yes"/>
    <n v="20"/>
    <n v="7"/>
    <n v="58"/>
  </r>
  <r>
    <x v="222"/>
    <x v="45"/>
    <x v="2"/>
    <x v="221"/>
    <x v="1"/>
    <n v="10"/>
    <x v="0"/>
    <s v="No"/>
    <s v="-"/>
    <s v="Yes"/>
    <n v="20"/>
    <n v="10"/>
    <n v="20"/>
  </r>
  <r>
    <x v="223"/>
    <x v="214"/>
    <x v="1"/>
    <x v="222"/>
    <x v="0"/>
    <n v="5"/>
    <x v="1"/>
    <s v="No"/>
    <s v="-"/>
    <s v="No"/>
    <n v="0"/>
    <n v="0"/>
    <n v="5"/>
  </r>
  <r>
    <x v="224"/>
    <x v="215"/>
    <x v="0"/>
    <x v="223"/>
    <x v="1"/>
    <n v="15"/>
    <x v="0"/>
    <s v="Yes"/>
    <n v="30"/>
    <s v="Yes"/>
    <n v="20"/>
    <n v="20"/>
    <n v="45"/>
  </r>
  <r>
    <x v="225"/>
    <x v="216"/>
    <x v="2"/>
    <x v="224"/>
    <x v="0"/>
    <n v="10"/>
    <x v="2"/>
    <s v="No"/>
    <s v="-"/>
    <s v="Yes"/>
    <n v="20"/>
    <n v="15"/>
    <n v="15"/>
  </r>
  <r>
    <x v="226"/>
    <x v="217"/>
    <x v="1"/>
    <x v="225"/>
    <x v="1"/>
    <n v="5"/>
    <x v="0"/>
    <s v="No"/>
    <s v="-"/>
    <s v="No"/>
    <n v="0"/>
    <n v="1"/>
    <n v="4"/>
  </r>
  <r>
    <x v="227"/>
    <x v="218"/>
    <x v="0"/>
    <x v="226"/>
    <x v="0"/>
    <n v="15"/>
    <x v="1"/>
    <s v="Yes"/>
    <n v="30"/>
    <s v="Yes"/>
    <n v="20"/>
    <n v="3"/>
    <n v="62"/>
  </r>
  <r>
    <x v="228"/>
    <x v="219"/>
    <x v="2"/>
    <x v="227"/>
    <x v="1"/>
    <n v="10"/>
    <x v="0"/>
    <s v="No"/>
    <s v="-"/>
    <s v="Yes"/>
    <n v="20"/>
    <n v="10"/>
    <n v="20"/>
  </r>
  <r>
    <x v="229"/>
    <x v="127"/>
    <x v="1"/>
    <x v="228"/>
    <x v="0"/>
    <n v="5"/>
    <x v="2"/>
    <s v="No"/>
    <s v="-"/>
    <s v="No"/>
    <n v="0"/>
    <n v="0"/>
    <n v="5"/>
  </r>
  <r>
    <x v="230"/>
    <x v="220"/>
    <x v="0"/>
    <x v="229"/>
    <x v="1"/>
    <n v="15"/>
    <x v="0"/>
    <s v="Yes"/>
    <n v="30"/>
    <s v="Yes"/>
    <n v="20"/>
    <n v="15"/>
    <n v="50"/>
  </r>
  <r>
    <x v="231"/>
    <x v="221"/>
    <x v="2"/>
    <x v="230"/>
    <x v="0"/>
    <n v="10"/>
    <x v="1"/>
    <s v="No"/>
    <s v="-"/>
    <s v="Yes"/>
    <n v="20"/>
    <n v="15"/>
    <n v="15"/>
  </r>
  <r>
    <x v="232"/>
    <x v="222"/>
    <x v="1"/>
    <x v="231"/>
    <x v="1"/>
    <n v="5"/>
    <x v="0"/>
    <s v="No"/>
    <s v="-"/>
    <s v="No"/>
    <n v="0"/>
    <n v="1"/>
    <n v="4"/>
  </r>
  <r>
    <x v="233"/>
    <x v="223"/>
    <x v="0"/>
    <x v="232"/>
    <x v="0"/>
    <n v="15"/>
    <x v="2"/>
    <s v="Yes"/>
    <n v="30"/>
    <s v="Yes"/>
    <n v="20"/>
    <n v="7"/>
    <n v="58"/>
  </r>
  <r>
    <x v="234"/>
    <x v="224"/>
    <x v="2"/>
    <x v="233"/>
    <x v="1"/>
    <n v="10"/>
    <x v="0"/>
    <s v="No"/>
    <s v="-"/>
    <s v="Yes"/>
    <n v="20"/>
    <n v="10"/>
    <n v="20"/>
  </r>
  <r>
    <x v="235"/>
    <x v="225"/>
    <x v="1"/>
    <x v="234"/>
    <x v="0"/>
    <n v="5"/>
    <x v="1"/>
    <s v="No"/>
    <s v="-"/>
    <s v="No"/>
    <n v="0"/>
    <n v="0"/>
    <n v="5"/>
  </r>
  <r>
    <x v="236"/>
    <x v="226"/>
    <x v="0"/>
    <x v="235"/>
    <x v="1"/>
    <n v="15"/>
    <x v="0"/>
    <s v="Yes"/>
    <n v="30"/>
    <s v="Yes"/>
    <n v="20"/>
    <n v="15"/>
    <n v="50"/>
  </r>
  <r>
    <x v="237"/>
    <x v="227"/>
    <x v="2"/>
    <x v="236"/>
    <x v="0"/>
    <n v="10"/>
    <x v="2"/>
    <s v="No"/>
    <s v="-"/>
    <s v="Yes"/>
    <n v="20"/>
    <n v="12"/>
    <n v="18"/>
  </r>
  <r>
    <x v="238"/>
    <x v="228"/>
    <x v="1"/>
    <x v="237"/>
    <x v="1"/>
    <n v="5"/>
    <x v="0"/>
    <s v="No"/>
    <s v="-"/>
    <s v="No"/>
    <n v="0"/>
    <n v="2"/>
    <n v="3"/>
  </r>
  <r>
    <x v="239"/>
    <x v="229"/>
    <x v="0"/>
    <x v="238"/>
    <x v="0"/>
    <n v="15"/>
    <x v="1"/>
    <s v="Yes"/>
    <n v="30"/>
    <s v="Yes"/>
    <n v="20"/>
    <n v="5"/>
    <n v="60"/>
  </r>
  <r>
    <x v="240"/>
    <x v="230"/>
    <x v="2"/>
    <x v="239"/>
    <x v="1"/>
    <n v="10"/>
    <x v="0"/>
    <s v="No"/>
    <s v="-"/>
    <s v="Yes"/>
    <n v="20"/>
    <n v="10"/>
    <n v="20"/>
  </r>
  <r>
    <x v="241"/>
    <x v="231"/>
    <x v="1"/>
    <x v="240"/>
    <x v="0"/>
    <n v="5"/>
    <x v="2"/>
    <s v="No"/>
    <s v="-"/>
    <s v="No"/>
    <n v="0"/>
    <n v="0"/>
    <n v="5"/>
  </r>
  <r>
    <x v="242"/>
    <x v="140"/>
    <x v="0"/>
    <x v="241"/>
    <x v="1"/>
    <n v="15"/>
    <x v="0"/>
    <s v="Yes"/>
    <n v="30"/>
    <s v="Yes"/>
    <n v="20"/>
    <n v="3"/>
    <n v="62"/>
  </r>
  <r>
    <x v="243"/>
    <x v="232"/>
    <x v="2"/>
    <x v="242"/>
    <x v="0"/>
    <n v="10"/>
    <x v="1"/>
    <s v="No"/>
    <s v="-"/>
    <s v="Yes"/>
    <n v="20"/>
    <n v="15"/>
    <n v="15"/>
  </r>
  <r>
    <x v="244"/>
    <x v="233"/>
    <x v="1"/>
    <x v="243"/>
    <x v="1"/>
    <n v="5"/>
    <x v="0"/>
    <s v="No"/>
    <s v="-"/>
    <s v="No"/>
    <n v="0"/>
    <n v="1"/>
    <n v="4"/>
  </r>
  <r>
    <x v="245"/>
    <x v="234"/>
    <x v="0"/>
    <x v="244"/>
    <x v="0"/>
    <n v="15"/>
    <x v="2"/>
    <s v="Yes"/>
    <n v="30"/>
    <s v="Yes"/>
    <n v="20"/>
    <n v="7"/>
    <n v="58"/>
  </r>
  <r>
    <x v="246"/>
    <x v="235"/>
    <x v="2"/>
    <x v="245"/>
    <x v="1"/>
    <n v="10"/>
    <x v="0"/>
    <s v="No"/>
    <s v="-"/>
    <s v="Yes"/>
    <n v="20"/>
    <n v="10"/>
    <n v="20"/>
  </r>
  <r>
    <x v="247"/>
    <x v="236"/>
    <x v="1"/>
    <x v="246"/>
    <x v="0"/>
    <n v="5"/>
    <x v="1"/>
    <s v="No"/>
    <s v="-"/>
    <s v="No"/>
    <n v="0"/>
    <n v="0"/>
    <n v="5"/>
  </r>
  <r>
    <x v="248"/>
    <x v="237"/>
    <x v="0"/>
    <x v="247"/>
    <x v="1"/>
    <n v="15"/>
    <x v="0"/>
    <s v="Yes"/>
    <n v="30"/>
    <s v="Yes"/>
    <n v="20"/>
    <n v="20"/>
    <n v="45"/>
  </r>
  <r>
    <x v="249"/>
    <x v="238"/>
    <x v="2"/>
    <x v="248"/>
    <x v="0"/>
    <n v="10"/>
    <x v="2"/>
    <s v="No"/>
    <s v="-"/>
    <s v="Yes"/>
    <n v="20"/>
    <n v="15"/>
    <n v="15"/>
  </r>
  <r>
    <x v="250"/>
    <x v="239"/>
    <x v="1"/>
    <x v="249"/>
    <x v="1"/>
    <n v="5"/>
    <x v="0"/>
    <s v="No"/>
    <s v="-"/>
    <s v="No"/>
    <n v="0"/>
    <n v="1"/>
    <n v="4"/>
  </r>
  <r>
    <x v="251"/>
    <x v="240"/>
    <x v="0"/>
    <x v="250"/>
    <x v="0"/>
    <n v="15"/>
    <x v="1"/>
    <s v="Yes"/>
    <n v="30"/>
    <s v="Yes"/>
    <n v="20"/>
    <n v="3"/>
    <n v="62"/>
  </r>
  <r>
    <x v="252"/>
    <x v="241"/>
    <x v="2"/>
    <x v="251"/>
    <x v="1"/>
    <n v="10"/>
    <x v="0"/>
    <s v="No"/>
    <s v="-"/>
    <s v="Yes"/>
    <n v="20"/>
    <n v="10"/>
    <n v="20"/>
  </r>
  <r>
    <x v="253"/>
    <x v="242"/>
    <x v="1"/>
    <x v="252"/>
    <x v="0"/>
    <n v="5"/>
    <x v="2"/>
    <s v="No"/>
    <s v="-"/>
    <s v="No"/>
    <n v="0"/>
    <n v="0"/>
    <n v="5"/>
  </r>
  <r>
    <x v="254"/>
    <x v="243"/>
    <x v="0"/>
    <x v="253"/>
    <x v="1"/>
    <n v="15"/>
    <x v="0"/>
    <s v="Yes"/>
    <n v="30"/>
    <s v="Yes"/>
    <n v="20"/>
    <n v="15"/>
    <n v="50"/>
  </r>
  <r>
    <x v="255"/>
    <x v="244"/>
    <x v="1"/>
    <x v="254"/>
    <x v="0"/>
    <n v="5"/>
    <x v="0"/>
    <s v="No"/>
    <s v="-"/>
    <s v="No"/>
    <n v="0"/>
    <n v="0"/>
    <n v="5"/>
  </r>
  <r>
    <x v="256"/>
    <x v="245"/>
    <x v="0"/>
    <x v="255"/>
    <x v="1"/>
    <n v="15"/>
    <x v="2"/>
    <s v="Yes"/>
    <n v="30"/>
    <s v="Yes"/>
    <n v="20"/>
    <n v="7"/>
    <n v="58"/>
  </r>
  <r>
    <x v="257"/>
    <x v="246"/>
    <x v="2"/>
    <x v="256"/>
    <x v="0"/>
    <n v="10"/>
    <x v="1"/>
    <s v="No"/>
    <s v="-"/>
    <s v="Yes"/>
    <n v="20"/>
    <n v="10"/>
    <n v="20"/>
  </r>
  <r>
    <x v="258"/>
    <x v="247"/>
    <x v="1"/>
    <x v="257"/>
    <x v="1"/>
    <n v="5"/>
    <x v="2"/>
    <s v="No"/>
    <s v="-"/>
    <s v="No"/>
    <n v="0"/>
    <n v="1"/>
    <n v="4"/>
  </r>
  <r>
    <x v="259"/>
    <x v="248"/>
    <x v="0"/>
    <x v="258"/>
    <x v="0"/>
    <n v="15"/>
    <x v="0"/>
    <s v="Yes"/>
    <n v="30"/>
    <s v="Yes"/>
    <n v="20"/>
    <n v="15"/>
    <n v="50"/>
  </r>
  <r>
    <x v="260"/>
    <x v="249"/>
    <x v="2"/>
    <x v="259"/>
    <x v="1"/>
    <n v="10"/>
    <x v="0"/>
    <s v="No"/>
    <s v="-"/>
    <s v="Yes"/>
    <n v="20"/>
    <n v="5"/>
    <n v="25"/>
  </r>
  <r>
    <x v="261"/>
    <x v="250"/>
    <x v="1"/>
    <x v="260"/>
    <x v="0"/>
    <n v="5"/>
    <x v="1"/>
    <s v="No"/>
    <s v="-"/>
    <s v="No"/>
    <n v="0"/>
    <n v="0"/>
    <n v="5"/>
  </r>
  <r>
    <x v="262"/>
    <x v="251"/>
    <x v="0"/>
    <x v="261"/>
    <x v="1"/>
    <n v="15"/>
    <x v="2"/>
    <s v="Yes"/>
    <n v="30"/>
    <s v="Yes"/>
    <n v="20"/>
    <n v="20"/>
    <n v="45"/>
  </r>
  <r>
    <x v="263"/>
    <x v="252"/>
    <x v="2"/>
    <x v="262"/>
    <x v="0"/>
    <n v="10"/>
    <x v="2"/>
    <s v="No"/>
    <s v="-"/>
    <s v="Yes"/>
    <n v="20"/>
    <n v="12"/>
    <n v="18"/>
  </r>
  <r>
    <x v="264"/>
    <x v="253"/>
    <x v="1"/>
    <x v="263"/>
    <x v="1"/>
    <n v="5"/>
    <x v="0"/>
    <s v="No"/>
    <s v="-"/>
    <s v="No"/>
    <n v="0"/>
    <n v="2"/>
    <n v="3"/>
  </r>
  <r>
    <x v="265"/>
    <x v="254"/>
    <x v="0"/>
    <x v="264"/>
    <x v="0"/>
    <n v="15"/>
    <x v="1"/>
    <s v="Yes"/>
    <n v="30"/>
    <s v="Yes"/>
    <n v="20"/>
    <n v="5"/>
    <n v="60"/>
  </r>
  <r>
    <x v="266"/>
    <x v="255"/>
    <x v="2"/>
    <x v="265"/>
    <x v="1"/>
    <n v="10"/>
    <x v="0"/>
    <s v="No"/>
    <s v="-"/>
    <s v="Yes"/>
    <n v="20"/>
    <n v="10"/>
    <n v="20"/>
  </r>
  <r>
    <x v="267"/>
    <x v="256"/>
    <x v="1"/>
    <x v="266"/>
    <x v="0"/>
    <n v="5"/>
    <x v="2"/>
    <s v="No"/>
    <s v="-"/>
    <s v="No"/>
    <n v="0"/>
    <n v="0"/>
    <n v="5"/>
  </r>
  <r>
    <x v="268"/>
    <x v="257"/>
    <x v="0"/>
    <x v="267"/>
    <x v="1"/>
    <n v="15"/>
    <x v="0"/>
    <s v="Yes"/>
    <n v="30"/>
    <s v="Yes"/>
    <n v="20"/>
    <n v="3"/>
    <n v="62"/>
  </r>
  <r>
    <x v="269"/>
    <x v="258"/>
    <x v="2"/>
    <x v="268"/>
    <x v="0"/>
    <n v="10"/>
    <x v="1"/>
    <s v="No"/>
    <s v="-"/>
    <s v="Yes"/>
    <n v="20"/>
    <n v="15"/>
    <n v="15"/>
  </r>
  <r>
    <x v="270"/>
    <x v="259"/>
    <x v="1"/>
    <x v="269"/>
    <x v="1"/>
    <n v="5"/>
    <x v="0"/>
    <s v="No"/>
    <s v="-"/>
    <s v="No"/>
    <n v="0"/>
    <n v="1"/>
    <n v="4"/>
  </r>
  <r>
    <x v="271"/>
    <x v="260"/>
    <x v="0"/>
    <x v="270"/>
    <x v="0"/>
    <n v="15"/>
    <x v="2"/>
    <s v="Yes"/>
    <n v="30"/>
    <s v="Yes"/>
    <n v="20"/>
    <n v="7"/>
    <n v="58"/>
  </r>
  <r>
    <x v="272"/>
    <x v="119"/>
    <x v="2"/>
    <x v="271"/>
    <x v="1"/>
    <n v="10"/>
    <x v="0"/>
    <s v="No"/>
    <s v="-"/>
    <s v="Yes"/>
    <n v="20"/>
    <n v="10"/>
    <n v="20"/>
  </r>
  <r>
    <x v="273"/>
    <x v="261"/>
    <x v="1"/>
    <x v="272"/>
    <x v="0"/>
    <n v="5"/>
    <x v="1"/>
    <s v="No"/>
    <s v="-"/>
    <s v="No"/>
    <n v="0"/>
    <n v="0"/>
    <n v="5"/>
  </r>
  <r>
    <x v="274"/>
    <x v="262"/>
    <x v="0"/>
    <x v="273"/>
    <x v="1"/>
    <n v="15"/>
    <x v="0"/>
    <s v="Yes"/>
    <n v="30"/>
    <s v="Yes"/>
    <n v="20"/>
    <n v="20"/>
    <n v="45"/>
  </r>
  <r>
    <x v="275"/>
    <x v="263"/>
    <x v="2"/>
    <x v="274"/>
    <x v="0"/>
    <n v="10"/>
    <x v="2"/>
    <s v="No"/>
    <s v="-"/>
    <s v="Yes"/>
    <n v="20"/>
    <n v="15"/>
    <n v="15"/>
  </r>
  <r>
    <x v="276"/>
    <x v="264"/>
    <x v="1"/>
    <x v="275"/>
    <x v="1"/>
    <n v="5"/>
    <x v="0"/>
    <s v="No"/>
    <s v="-"/>
    <s v="No"/>
    <n v="0"/>
    <n v="1"/>
    <n v="4"/>
  </r>
  <r>
    <x v="277"/>
    <x v="265"/>
    <x v="0"/>
    <x v="276"/>
    <x v="0"/>
    <n v="15"/>
    <x v="1"/>
    <s v="Yes"/>
    <n v="30"/>
    <s v="Yes"/>
    <n v="20"/>
    <n v="3"/>
    <n v="62"/>
  </r>
  <r>
    <x v="278"/>
    <x v="266"/>
    <x v="2"/>
    <x v="277"/>
    <x v="1"/>
    <n v="10"/>
    <x v="0"/>
    <s v="No"/>
    <s v="-"/>
    <s v="Yes"/>
    <n v="20"/>
    <n v="10"/>
    <n v="20"/>
  </r>
  <r>
    <x v="279"/>
    <x v="267"/>
    <x v="1"/>
    <x v="278"/>
    <x v="0"/>
    <n v="5"/>
    <x v="2"/>
    <s v="No"/>
    <s v="-"/>
    <s v="No"/>
    <n v="0"/>
    <n v="0"/>
    <n v="5"/>
  </r>
  <r>
    <x v="280"/>
    <x v="268"/>
    <x v="0"/>
    <x v="279"/>
    <x v="1"/>
    <n v="15"/>
    <x v="0"/>
    <s v="Yes"/>
    <n v="30"/>
    <s v="Yes"/>
    <n v="20"/>
    <n v="15"/>
    <n v="50"/>
  </r>
  <r>
    <x v="281"/>
    <x v="269"/>
    <x v="2"/>
    <x v="280"/>
    <x v="0"/>
    <n v="10"/>
    <x v="1"/>
    <s v="No"/>
    <s v="-"/>
    <s v="Yes"/>
    <n v="20"/>
    <n v="15"/>
    <n v="15"/>
  </r>
  <r>
    <x v="282"/>
    <x v="270"/>
    <x v="1"/>
    <x v="281"/>
    <x v="1"/>
    <n v="5"/>
    <x v="0"/>
    <s v="No"/>
    <s v="-"/>
    <s v="No"/>
    <n v="0"/>
    <n v="1"/>
    <n v="4"/>
  </r>
  <r>
    <x v="283"/>
    <x v="271"/>
    <x v="0"/>
    <x v="282"/>
    <x v="0"/>
    <n v="15"/>
    <x v="2"/>
    <s v="Yes"/>
    <n v="30"/>
    <s v="Yes"/>
    <n v="20"/>
    <n v="7"/>
    <n v="58"/>
  </r>
  <r>
    <x v="284"/>
    <x v="130"/>
    <x v="2"/>
    <x v="283"/>
    <x v="1"/>
    <n v="10"/>
    <x v="0"/>
    <s v="No"/>
    <s v="-"/>
    <s v="Yes"/>
    <n v="20"/>
    <n v="10"/>
    <n v="20"/>
  </r>
  <r>
    <x v="285"/>
    <x v="131"/>
    <x v="1"/>
    <x v="284"/>
    <x v="0"/>
    <n v="5"/>
    <x v="1"/>
    <s v="No"/>
    <s v="-"/>
    <s v="No"/>
    <n v="0"/>
    <n v="0"/>
    <n v="5"/>
  </r>
  <r>
    <x v="286"/>
    <x v="181"/>
    <x v="0"/>
    <x v="285"/>
    <x v="1"/>
    <n v="15"/>
    <x v="0"/>
    <s v="Yes"/>
    <n v="30"/>
    <s v="Yes"/>
    <n v="20"/>
    <n v="20"/>
    <n v="45"/>
  </r>
  <r>
    <x v="287"/>
    <x v="272"/>
    <x v="2"/>
    <x v="286"/>
    <x v="0"/>
    <n v="10"/>
    <x v="2"/>
    <s v="No"/>
    <s v="-"/>
    <s v="Yes"/>
    <n v="20"/>
    <n v="12"/>
    <n v="18"/>
  </r>
  <r>
    <x v="288"/>
    <x v="273"/>
    <x v="1"/>
    <x v="287"/>
    <x v="1"/>
    <n v="5"/>
    <x v="0"/>
    <s v="No"/>
    <s v="-"/>
    <s v="No"/>
    <n v="0"/>
    <n v="2"/>
    <n v="3"/>
  </r>
  <r>
    <x v="289"/>
    <x v="274"/>
    <x v="0"/>
    <x v="288"/>
    <x v="0"/>
    <n v="15"/>
    <x v="1"/>
    <s v="Yes"/>
    <n v="30"/>
    <s v="Yes"/>
    <n v="20"/>
    <n v="5"/>
    <n v="60"/>
  </r>
  <r>
    <x v="290"/>
    <x v="275"/>
    <x v="2"/>
    <x v="289"/>
    <x v="1"/>
    <n v="10"/>
    <x v="0"/>
    <s v="No"/>
    <s v="-"/>
    <s v="Yes"/>
    <n v="20"/>
    <n v="10"/>
    <n v="20"/>
  </r>
  <r>
    <x v="291"/>
    <x v="276"/>
    <x v="1"/>
    <x v="290"/>
    <x v="0"/>
    <n v="5"/>
    <x v="2"/>
    <s v="No"/>
    <s v="-"/>
    <s v="No"/>
    <n v="0"/>
    <n v="0"/>
    <n v="5"/>
  </r>
  <r>
    <x v="292"/>
    <x v="277"/>
    <x v="0"/>
    <x v="291"/>
    <x v="1"/>
    <n v="15"/>
    <x v="0"/>
    <s v="Yes"/>
    <n v="30"/>
    <s v="Yes"/>
    <n v="20"/>
    <n v="3"/>
    <n v="62"/>
  </r>
  <r>
    <x v="293"/>
    <x v="278"/>
    <x v="2"/>
    <x v="292"/>
    <x v="0"/>
    <n v="10"/>
    <x v="1"/>
    <s v="No"/>
    <s v="-"/>
    <s v="Yes"/>
    <n v="20"/>
    <n v="15"/>
    <n v="15"/>
  </r>
  <r>
    <x v="294"/>
    <x v="279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5DD30-1146-410F-910A-0FC9FDCF665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5:C58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4">
    <format dxfId="9">
      <pivotArea grandRow="1" outline="0" collapsedLevelsAreSubtotals="1" fieldPosition="0"/>
    </format>
    <format dxfId="10">
      <pivotArea dataOnly="0" labelOnly="1" grandRow="1" outline="0" fieldPosition="0"/>
    </format>
    <format dxfId="11">
      <pivotArea field="4" type="button" dataOnly="0" labelOnly="1" outline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76A26-08A1-443C-A520-6E72804863E8}" name="tbl_pla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35:C39" firstHeaderRow="1" firstDataRow="1" firstDataCol="1" rowPageCount="1" colPageCount="1"/>
  <pivotFields count="15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2" baseItem="2" numFmtId="44"/>
  </dataFields>
  <formats count="4">
    <format dxfId="13">
      <pivotArea grandRow="1" outline="0" collapsedLevelsAreSubtotals="1" fieldPosition="0"/>
    </format>
    <format dxfId="14">
      <pivotArea dataOnly="0" labelOnly="1" grandRow="1" outline="0" fieldPosition="0"/>
    </format>
    <format dxfId="15">
      <pivotArea field="4" type="button" dataOnly="0" labelOnly="1" outline="0"/>
    </format>
    <format dxfId="16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05B4E-294E-4F7F-AC86-9B82DE167357}" name="tbl_minecrafta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5:C29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formats count="4">
    <format dxfId="0">
      <pivotArea grandRow="1" outline="0" collapsedLevelsAreSubtotals="1" fieldPosition="0"/>
    </format>
    <format dxfId="1">
      <pivotArea dataOnly="0" labelOnly="1" grandRow="1" outline="0" fieldPosition="0"/>
    </format>
    <format dxfId="2">
      <pivotArea field="4" type="button" dataOnly="0" labelOnly="1" outline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C2D66-059F-4550-BE85-022513872E0A}" name="tbl_ea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5:C19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5">
    <format dxfId="4">
      <pivotArea grandRow="1" outline="0" collapsedLevelsAreSubtotals="1" fieldPosition="0"/>
    </format>
    <format dxfId="5">
      <pivotArea dataOnly="0" labelOnly="1" grandRow="1" outline="0" fieldPosition="0"/>
    </format>
    <format dxfId="6">
      <pivotArea field="4" type="button" dataOnly="0" labelOnly="1" outline="0"/>
    </format>
    <format dxfId="7">
      <pivotArea dataOnly="0" labelOnly="1" outline="0" axis="axisValues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8128E-EEA3-46C8-8875-E5753B0CD3EA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6:C9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4"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field="4" type="button" dataOnly="0" labelOnly="1" outline="0" axis="axisRow" fieldPosition="0"/>
    </format>
    <format dxfId="17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4">
  <autoFilter ref="A1:M296" xr:uid="{34E0E886-4200-4B36-97B3-63DB74FF40A0}">
    <filterColumn colId="2">
      <filters>
        <filter val="Core"/>
      </filters>
    </filterColumn>
  </autoFilter>
  <tableColumns count="13">
    <tableColumn id="1" xr3:uid="{C4A90516-688A-46BF-9167-EA16C2A8A652}" name="Subscriber ID" dataDxfId="33"/>
    <tableColumn id="2" xr3:uid="{53DD39D0-2220-4121-9E9D-4EAA7E151C0F}" name="Name" dataDxfId="32"/>
    <tableColumn id="3" xr3:uid="{4F5FF271-4C57-4BE0-8F2C-F82C8551625C}" name="Plan" dataDxfId="31"/>
    <tableColumn id="4" xr3:uid="{8C17EB93-79B9-4E55-B8F7-BEB82F8253E9}" name="Start Date" dataDxfId="30"/>
    <tableColumn id="5" xr3:uid="{48CEDF9B-1689-482A-A828-5CCE7713264A}" name="Auto Renewal" dataDxfId="29"/>
    <tableColumn id="6" xr3:uid="{78B82374-9AA7-4E38-AE4F-78CDE6C83720}" name="Subscription Price" dataDxfId="28" dataCellStyle="Moeda"/>
    <tableColumn id="7" xr3:uid="{F2433F68-AF33-49D0-B1FB-19A396074EDE}" name="Subscription Type" dataDxfId="27"/>
    <tableColumn id="8" xr3:uid="{FD4D9C95-F6E5-4933-9068-A71FF7DF9343}" name="EA Play Season Pass" dataDxfId="26"/>
    <tableColumn id="13" xr3:uid="{978DD0D2-834E-4CE4-A39B-30976086932F}" name="EA Play Season Pass_x000a_Price" dataDxfId="25" dataCellStyle="Moeda"/>
    <tableColumn id="9" xr3:uid="{6E29F111-C395-4580-9DAD-3407D9E8B1A4}" name="Minecraft Season Pass" dataDxfId="24"/>
    <tableColumn id="10" xr3:uid="{EF544EAA-7F25-4FD5-A10E-8E62804DB9E3}" name="Minecraft Season Pass Price" dataDxfId="23" dataCellStyle="Moeda"/>
    <tableColumn id="11" xr3:uid="{7F6EB64A-1F07-4E48-9F0F-AC7D9DCD26F8}" name="Coupon Value" dataDxfId="22" dataCellStyle="Moeda"/>
    <tableColumn id="12" xr3:uid="{2B04ABC8-DE6F-426E-ADC0-D8AFC68CA58E}" name="Total Value" data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313</v>
      </c>
      <c r="C5" t="s">
        <v>3</v>
      </c>
      <c r="E5" s="7" t="s">
        <v>317</v>
      </c>
      <c r="F5" t="s">
        <v>2</v>
      </c>
    </row>
    <row r="6" spans="2:16" x14ac:dyDescent="0.25">
      <c r="B6" s="4" t="s">
        <v>314</v>
      </c>
      <c r="C6" t="s">
        <v>3</v>
      </c>
    </row>
    <row r="7" spans="2:16" x14ac:dyDescent="0.25">
      <c r="B7" s="5" t="s">
        <v>315</v>
      </c>
      <c r="C7" t="s">
        <v>4</v>
      </c>
    </row>
    <row r="8" spans="2:16" x14ac:dyDescent="0.25">
      <c r="B8" s="6" t="s">
        <v>316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1" sqref="M1:M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idden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544"/>
  <sheetViews>
    <sheetView showGridLines="0" tabSelected="1" topLeftCell="B31" workbookViewId="0">
      <selection activeCell="G35" sqref="G35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20.140625" style="14" customWidth="1"/>
    <col min="5" max="5" width="12.28515625" bestFit="1" customWidth="1"/>
    <col min="6" max="6" width="21.140625" bestFit="1" customWidth="1"/>
    <col min="7" max="8" width="35.140625" bestFit="1" customWidth="1"/>
    <col min="9" max="12" width="9.7109375" bestFit="1" customWidth="1"/>
    <col min="13" max="13" width="15.5703125" bestFit="1" customWidth="1"/>
    <col min="14" max="14" width="12.140625" bestFit="1" customWidth="1"/>
  </cols>
  <sheetData>
    <row r="1" spans="2:4" x14ac:dyDescent="0.25">
      <c r="B1" s="19" t="s">
        <v>311</v>
      </c>
      <c r="C1" s="19"/>
      <c r="D1" s="19"/>
    </row>
    <row r="2" spans="2:4" x14ac:dyDescent="0.25">
      <c r="B2" s="19" t="s">
        <v>312</v>
      </c>
      <c r="C2" s="19"/>
      <c r="D2" s="19"/>
    </row>
    <row r="3" spans="2:4" x14ac:dyDescent="0.25">
      <c r="D3"/>
    </row>
    <row r="4" spans="2:4" x14ac:dyDescent="0.25">
      <c r="B4" s="12" t="s">
        <v>11</v>
      </c>
      <c r="C4" t="s">
        <v>325</v>
      </c>
      <c r="D4"/>
    </row>
    <row r="5" spans="2:4" x14ac:dyDescent="0.25">
      <c r="D5"/>
    </row>
    <row r="6" spans="2:4" x14ac:dyDescent="0.25">
      <c r="B6" s="6" t="s">
        <v>309</v>
      </c>
      <c r="C6" s="6" t="s">
        <v>308</v>
      </c>
      <c r="D6"/>
    </row>
    <row r="7" spans="2:4" x14ac:dyDescent="0.25">
      <c r="B7" s="13" t="s">
        <v>18</v>
      </c>
      <c r="C7" s="15">
        <v>3847</v>
      </c>
      <c r="D7"/>
    </row>
    <row r="8" spans="2:4" x14ac:dyDescent="0.25">
      <c r="B8" s="13" t="s">
        <v>14</v>
      </c>
      <c r="C8" s="15">
        <v>3786</v>
      </c>
      <c r="D8"/>
    </row>
    <row r="9" spans="2:4" x14ac:dyDescent="0.25">
      <c r="B9" s="16" t="s">
        <v>310</v>
      </c>
      <c r="C9" s="17">
        <v>7633</v>
      </c>
      <c r="D9"/>
    </row>
    <row r="10" spans="2:4" x14ac:dyDescent="0.25">
      <c r="D10"/>
    </row>
    <row r="11" spans="2:4" x14ac:dyDescent="0.25">
      <c r="B11" s="20" t="s">
        <v>321</v>
      </c>
      <c r="C11" s="20"/>
      <c r="D11" s="20"/>
    </row>
    <row r="12" spans="2:4" x14ac:dyDescent="0.25">
      <c r="D12"/>
    </row>
    <row r="13" spans="2:4" x14ac:dyDescent="0.25">
      <c r="B13" s="12" t="s">
        <v>11</v>
      </c>
      <c r="C13" t="s">
        <v>325</v>
      </c>
      <c r="D13"/>
    </row>
    <row r="14" spans="2:4" x14ac:dyDescent="0.25">
      <c r="D14"/>
    </row>
    <row r="15" spans="2:4" x14ac:dyDescent="0.25">
      <c r="B15" s="12" t="s">
        <v>309</v>
      </c>
      <c r="C15" s="6" t="s">
        <v>318</v>
      </c>
      <c r="D15"/>
    </row>
    <row r="16" spans="2:4" x14ac:dyDescent="0.25">
      <c r="B16" s="13" t="s">
        <v>17</v>
      </c>
      <c r="C16" s="14">
        <v>0</v>
      </c>
      <c r="D16"/>
    </row>
    <row r="17" spans="2:4" x14ac:dyDescent="0.25">
      <c r="B17" s="13" t="s">
        <v>21</v>
      </c>
      <c r="C17" s="14">
        <v>0</v>
      </c>
      <c r="D17"/>
    </row>
    <row r="18" spans="2:4" x14ac:dyDescent="0.25">
      <c r="B18" s="13" t="s">
        <v>13</v>
      </c>
      <c r="C18" s="14">
        <v>2940</v>
      </c>
      <c r="D18"/>
    </row>
    <row r="19" spans="2:4" x14ac:dyDescent="0.25">
      <c r="B19" s="16" t="s">
        <v>310</v>
      </c>
      <c r="C19" s="18">
        <v>2940</v>
      </c>
      <c r="D19" s="14">
        <f>GETPIVOTDATA("EA Play Season Pass
Price",$B$15)</f>
        <v>2940</v>
      </c>
    </row>
    <row r="20" spans="2:4" x14ac:dyDescent="0.25">
      <c r="D20"/>
    </row>
    <row r="21" spans="2:4" x14ac:dyDescent="0.25">
      <c r="B21" s="20" t="s">
        <v>319</v>
      </c>
      <c r="C21" s="20"/>
      <c r="D21" s="20"/>
    </row>
    <row r="22" spans="2:4" x14ac:dyDescent="0.25">
      <c r="D22"/>
    </row>
    <row r="23" spans="2:4" x14ac:dyDescent="0.25">
      <c r="B23" s="12" t="s">
        <v>11</v>
      </c>
      <c r="C23" t="s">
        <v>325</v>
      </c>
      <c r="D23"/>
    </row>
    <row r="24" spans="2:4" x14ac:dyDescent="0.25">
      <c r="D24"/>
    </row>
    <row r="25" spans="2:4" x14ac:dyDescent="0.25">
      <c r="B25" s="12" t="s">
        <v>309</v>
      </c>
      <c r="C25" s="6" t="s">
        <v>320</v>
      </c>
      <c r="D25"/>
    </row>
    <row r="26" spans="2:4" x14ac:dyDescent="0.25">
      <c r="B26" s="13" t="s">
        <v>17</v>
      </c>
      <c r="C26" s="15">
        <v>0</v>
      </c>
      <c r="D26"/>
    </row>
    <row r="27" spans="2:4" x14ac:dyDescent="0.25">
      <c r="B27" s="13" t="s">
        <v>21</v>
      </c>
      <c r="C27" s="15">
        <v>1920</v>
      </c>
      <c r="D27"/>
    </row>
    <row r="28" spans="2:4" x14ac:dyDescent="0.25">
      <c r="B28" s="13" t="s">
        <v>13</v>
      </c>
      <c r="C28" s="15">
        <v>1960</v>
      </c>
      <c r="D28"/>
    </row>
    <row r="29" spans="2:4" x14ac:dyDescent="0.25">
      <c r="B29" s="16" t="s">
        <v>310</v>
      </c>
      <c r="C29" s="17">
        <v>3880</v>
      </c>
      <c r="D29"/>
    </row>
    <row r="30" spans="2:4" x14ac:dyDescent="0.25">
      <c r="D30"/>
    </row>
    <row r="31" spans="2:4" x14ac:dyDescent="0.25">
      <c r="B31" s="20" t="s">
        <v>322</v>
      </c>
      <c r="C31" s="20"/>
      <c r="D31" s="20"/>
    </row>
    <row r="32" spans="2:4" x14ac:dyDescent="0.25">
      <c r="D32"/>
    </row>
    <row r="33" spans="2:4" x14ac:dyDescent="0.25">
      <c r="B33" s="12" t="s">
        <v>11</v>
      </c>
      <c r="C33" t="s">
        <v>325</v>
      </c>
      <c r="D33"/>
    </row>
    <row r="34" spans="2:4" x14ac:dyDescent="0.25">
      <c r="D34"/>
    </row>
    <row r="35" spans="2:4" x14ac:dyDescent="0.25">
      <c r="B35" s="12" t="s">
        <v>309</v>
      </c>
      <c r="C35" s="6" t="s">
        <v>308</v>
      </c>
      <c r="D35"/>
    </row>
    <row r="36" spans="2:4" x14ac:dyDescent="0.25">
      <c r="B36" s="13" t="s">
        <v>17</v>
      </c>
      <c r="C36" s="15">
        <v>444</v>
      </c>
      <c r="D36"/>
    </row>
    <row r="37" spans="2:4" x14ac:dyDescent="0.25">
      <c r="B37" s="13" t="s">
        <v>21</v>
      </c>
      <c r="C37" s="15">
        <v>1801</v>
      </c>
      <c r="D37"/>
    </row>
    <row r="38" spans="2:4" x14ac:dyDescent="0.25">
      <c r="B38" s="13" t="s">
        <v>13</v>
      </c>
      <c r="C38" s="15">
        <v>5388</v>
      </c>
      <c r="D38"/>
    </row>
    <row r="39" spans="2:4" x14ac:dyDescent="0.25">
      <c r="B39" s="16" t="s">
        <v>310</v>
      </c>
      <c r="C39" s="17">
        <v>7633</v>
      </c>
      <c r="D39"/>
    </row>
    <row r="40" spans="2:4" x14ac:dyDescent="0.25">
      <c r="D40"/>
    </row>
    <row r="41" spans="2:4" x14ac:dyDescent="0.25">
      <c r="B41" s="20" t="s">
        <v>323</v>
      </c>
      <c r="C41" s="20"/>
      <c r="D41" s="20"/>
    </row>
    <row r="42" spans="2:4" x14ac:dyDescent="0.25">
      <c r="D42"/>
    </row>
    <row r="43" spans="2:4" x14ac:dyDescent="0.25">
      <c r="B43" s="12" t="s">
        <v>11</v>
      </c>
      <c r="C43" t="s">
        <v>325</v>
      </c>
      <c r="D43"/>
    </row>
    <row r="44" spans="2:4" x14ac:dyDescent="0.25">
      <c r="D44"/>
    </row>
    <row r="45" spans="2:4" x14ac:dyDescent="0.25">
      <c r="B45" s="12" t="s">
        <v>309</v>
      </c>
      <c r="C45" s="6" t="s">
        <v>308</v>
      </c>
      <c r="D45"/>
    </row>
    <row r="46" spans="2:4" x14ac:dyDescent="0.25">
      <c r="B46" s="13" t="s">
        <v>327</v>
      </c>
      <c r="C46" s="15">
        <v>65</v>
      </c>
      <c r="D46"/>
    </row>
    <row r="47" spans="2:4" x14ac:dyDescent="0.25">
      <c r="B47" s="13" t="s">
        <v>328</v>
      </c>
      <c r="C47" s="15">
        <v>82</v>
      </c>
      <c r="D47"/>
    </row>
    <row r="48" spans="2:4" x14ac:dyDescent="0.25">
      <c r="B48" s="13" t="s">
        <v>329</v>
      </c>
      <c r="C48" s="15">
        <v>801</v>
      </c>
      <c r="D48"/>
    </row>
    <row r="49" spans="2:4" x14ac:dyDescent="0.25">
      <c r="B49" s="13" t="s">
        <v>330</v>
      </c>
      <c r="C49" s="15">
        <v>782</v>
      </c>
      <c r="D49"/>
    </row>
    <row r="50" spans="2:4" x14ac:dyDescent="0.25">
      <c r="B50" s="13" t="s">
        <v>331</v>
      </c>
      <c r="C50" s="15">
        <v>777</v>
      </c>
      <c r="D50"/>
    </row>
    <row r="51" spans="2:4" x14ac:dyDescent="0.25">
      <c r="B51" s="13" t="s">
        <v>332</v>
      </c>
      <c r="C51" s="15">
        <v>770</v>
      </c>
    </row>
    <row r="52" spans="2:4" x14ac:dyDescent="0.25">
      <c r="B52" s="13" t="s">
        <v>333</v>
      </c>
      <c r="C52" s="15">
        <v>784</v>
      </c>
      <c r="D52"/>
    </row>
    <row r="53" spans="2:4" x14ac:dyDescent="0.25">
      <c r="B53" s="13" t="s">
        <v>334</v>
      </c>
      <c r="C53" s="15">
        <v>787</v>
      </c>
      <c r="D53"/>
    </row>
    <row r="54" spans="2:4" x14ac:dyDescent="0.25">
      <c r="B54" s="13" t="s">
        <v>335</v>
      </c>
      <c r="C54" s="15">
        <v>780</v>
      </c>
      <c r="D54"/>
    </row>
    <row r="55" spans="2:4" x14ac:dyDescent="0.25">
      <c r="B55" s="13" t="s">
        <v>326</v>
      </c>
      <c r="C55" s="15">
        <v>832</v>
      </c>
      <c r="D55"/>
    </row>
    <row r="56" spans="2:4" x14ac:dyDescent="0.25">
      <c r="B56" s="13" t="s">
        <v>336</v>
      </c>
      <c r="C56" s="15">
        <v>784</v>
      </c>
      <c r="D56"/>
    </row>
    <row r="57" spans="2:4" x14ac:dyDescent="0.25">
      <c r="B57" s="13" t="s">
        <v>324</v>
      </c>
      <c r="C57" s="15">
        <v>389</v>
      </c>
      <c r="D57"/>
    </row>
    <row r="58" spans="2:4" x14ac:dyDescent="0.25">
      <c r="B58" s="16" t="s">
        <v>310</v>
      </c>
      <c r="C58" s="17">
        <v>7633</v>
      </c>
      <c r="D58"/>
    </row>
    <row r="59" spans="2:4" x14ac:dyDescent="0.25">
      <c r="D59"/>
    </row>
    <row r="60" spans="2:4" x14ac:dyDescent="0.25">
      <c r="D60"/>
    </row>
    <row r="61" spans="2:4" x14ac:dyDescent="0.25">
      <c r="D61"/>
    </row>
    <row r="62" spans="2:4" x14ac:dyDescent="0.25">
      <c r="D62"/>
    </row>
    <row r="63" spans="2:4" x14ac:dyDescent="0.25">
      <c r="D63"/>
    </row>
    <row r="64" spans="2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</sheetData>
  <mergeCells count="4">
    <mergeCell ref="B41:D41"/>
    <mergeCell ref="B11:D11"/>
    <mergeCell ref="B21:D21"/>
    <mergeCell ref="B31:D31"/>
  </mergeCells>
  <pageMargins left="0.511811024" right="0.511811024" top="0.78740157499999996" bottom="0.78740157499999996" header="0.31496062000000002" footer="0.31496062000000002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schemas.microsoft.com/office/infopath/2007/PartnerControls"/>
    <ds:schemaRef ds:uri="851b35d3-0456-4d6a-bc2f-da927e91d158"/>
    <ds:schemaRef ds:uri="http://schemas.microsoft.com/office/2006/documentManagement/types"/>
    <ds:schemaRef ds:uri="19483571-f922-4e8e-9c1c-26f0a2252132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145EEE-3CE4-4344-9422-58A5F3360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A̳ssets</vt:lpstr>
      <vt:lpstr>B̳ases</vt:lpstr>
      <vt:lpstr>C̳álculos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Byanca Godoy Lisboa</cp:lastModifiedBy>
  <dcterms:created xsi:type="dcterms:W3CDTF">2024-12-19T13:13:10Z</dcterms:created>
  <dcterms:modified xsi:type="dcterms:W3CDTF">2025-12-16T23:10:06Z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